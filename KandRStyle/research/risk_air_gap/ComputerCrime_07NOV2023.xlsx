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8" autoFilterDateGrouping="1"/>
  </bookViews>
  <sheets>
    <sheet name="State Summary Graphs" sheetId="1" state="visible" r:id="rId1"/>
    <sheet name="2016_IC3 State to City" sheetId="2" state="visible" r:id="rId2"/>
    <sheet name="2017_IC3 State to City" sheetId="3" state="visible" r:id="rId3"/>
    <sheet name="2018_IC3 State to City" sheetId="4" state="visible" r:id="rId4"/>
    <sheet name="2019_IC3 State to City" sheetId="5" state="visible" r:id="rId5"/>
    <sheet name="2020_IC3 State to City" sheetId="6" state="visible" r:id="rId6"/>
    <sheet name="2021_IC3 State to City" sheetId="7" state="visible" r:id="rId7"/>
    <sheet name="City Summary" sheetId="8" state="visible" r:id="rId8"/>
    <sheet name="2022_IC3 State to City" sheetId="9" state="visible" r:id="rId9"/>
    <sheet name="BLANK_IC3 State to City" sheetId="10" state="visible" r:id="rId10"/>
    <sheet name="BLANK_IC3 State to City (2)" sheetId="11" state="visible" r:id="rId11"/>
    <sheet name="Box_Tennessee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0000000000000000000000000000"/>
    <numFmt numFmtId="165" formatCode="0.00000000000000000000"/>
    <numFmt numFmtId="166" formatCode="&quot;$&quot;#,##0_);[Red]\(&quot;$&quot;#,##0\)"/>
    <numFmt numFmtId="167" formatCode="_(&quot;$&quot;* #,##0.00_);_(&quot;$&quot;* \(#,##0.00\);_(&quot;$&quot;* &quot;-&quot;??_);_(@_)"/>
    <numFmt numFmtId="168" formatCode="&quot;$&quot;#,##0.00"/>
    <numFmt numFmtId="169" formatCode="&quot;$&quot;#,##0"/>
    <numFmt numFmtId="170" formatCode="&quot;$&quot;#,##0.00_);[Red]\(&quot;$&quot;#,##0.00\)"/>
  </numFmts>
  <fonts count="7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color theme="10"/>
      <sz val="11"/>
      <u val="single"/>
      <scheme val="minor"/>
    </font>
    <font>
      <name val="MS sans serif"/>
      <color theme="1"/>
      <sz val="10"/>
    </font>
    <font>
      <b val="1"/>
      <sz val="14"/>
    </font>
    <font>
      <b val="1"/>
    </font>
    <font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28">
    <xf numFmtId="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6" fontId="0" fillId="0" borderId="0" applyAlignment="1" pivotButton="0" quotePrefix="0" xfId="0">
      <alignment vertical="center" wrapText="1"/>
    </xf>
    <xf numFmtId="168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vertical="center" wrapText="1"/>
    </xf>
    <xf numFmtId="169" fontId="0" fillId="0" borderId="0" pivotButton="0" quotePrefix="0" xfId="0"/>
    <xf numFmtId="169" fontId="0" fillId="0" borderId="0" applyAlignment="1" pivotButton="0" quotePrefix="0" xfId="0">
      <alignment vertical="center" wrapText="1"/>
    </xf>
    <xf numFmtId="0" fontId="2" fillId="0" borderId="0" pivotButton="0" quotePrefix="0" xfId="1"/>
    <xf numFmtId="3" fontId="0" fillId="0" borderId="1" applyAlignment="1" applyProtection="1" pivotButton="0" quotePrefix="0" xfId="0">
      <alignment horizontal="right"/>
      <protection locked="0" hidden="0"/>
    </xf>
    <xf numFmtId="164" fontId="2" fillId="0" borderId="0" pivotButton="0" quotePrefix="0" xfId="1"/>
    <xf numFmtId="3" fontId="3" fillId="0" borderId="1" applyAlignment="1" applyProtection="1" pivotButton="0" quotePrefix="0" xfId="0">
      <alignment horizontal="right"/>
      <protection locked="0" hidden="0"/>
    </xf>
    <xf numFmtId="17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6" fontId="0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 wrapText="1"/>
    </xf>
    <xf numFmtId="17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dxfs count="12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'State Summary Graphs'!$I$4</f>
              <strCache>
                <ptCount val="1"/>
                <pt idx="0">
                  <v>Personal Data Breach</v>
                </pt>
              </strCache>
            </strRef>
          </tx>
          <spPr>
            <a:ln w="25400" cap="rnd">
              <a:solidFill>
                <a:schemeClr val="l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solidFill>
                <a:schemeClr val="accent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'State Summary Graphs'!$B$5:$B$11</f>
              <numCache>
                <formatCode>General</formatCode>
                <ptCount val="7"/>
                <pt idx="0">
                  <v>2016</v>
                </pt>
                <pt idx="1">
                  <v>2017</v>
                </pt>
                <pt idx="2">
                  <v>2018</v>
                </pt>
                <pt idx="3">
                  <v>2019</v>
                </pt>
                <pt idx="4">
                  <v>2020</v>
                </pt>
                <pt idx="5">
                  <v>2021</v>
                </pt>
                <pt idx="6">
                  <v>2022</v>
                </pt>
              </numCache>
            </numRef>
          </cat>
          <val>
            <numRef>
              <f>'State Summary Graphs'!$I$5:$I$11</f>
              <numCache>
                <formatCode>#,##0</formatCode>
                <ptCount val="7"/>
                <pt idx="0">
                  <v>429</v>
                </pt>
                <pt idx="1">
                  <v>490</v>
                </pt>
                <pt idx="2">
                  <v>697</v>
                </pt>
                <pt idx="3">
                  <v>507</v>
                </pt>
                <pt idx="4">
                  <v>714</v>
                </pt>
                <pt idx="5">
                  <v>742</v>
                </pt>
                <pt idx="6">
                  <v>903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dropLines>
          <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dropLines>
        <smooth val="0"/>
        <axId val="177766848"/>
        <axId val="968305248"/>
      </lineChart>
      <catAx>
        <axId val="17776684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68305248"/>
        <crosses val="autoZero"/>
        <auto val="1"/>
        <lblAlgn val="ctr"/>
        <lblOffset val="100"/>
        <noMultiLvlLbl val="0"/>
      </catAx>
      <valAx>
        <axId val="968305248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177766848"/>
        <crosses val="autoZero"/>
        <crossBetween val="between"/>
      </valAx>
    </plotArea>
    <plotVisOnly val="1"/>
    <dispBlanksAs val="gap"/>
  </chart>
  <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'State Summary Graphs'!$J$4</f>
              <strCache>
                <ptCount val="1"/>
                <pt idx="0">
                  <v>Malware</v>
                </pt>
              </strCache>
            </strRef>
          </tx>
          <spPr>
            <a:ln w="25400" cap="rnd">
              <a:solidFill>
                <a:schemeClr val="l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solidFill>
                <a:schemeClr val="accent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'State Summary Graphs'!$B$5:$B$11</f>
              <numCache>
                <formatCode>General</formatCode>
                <ptCount val="7"/>
                <pt idx="0">
                  <v>2016</v>
                </pt>
                <pt idx="1">
                  <v>2017</v>
                </pt>
                <pt idx="2">
                  <v>2018</v>
                </pt>
                <pt idx="3">
                  <v>2019</v>
                </pt>
                <pt idx="4">
                  <v>2020</v>
                </pt>
                <pt idx="5">
                  <v>2021</v>
                </pt>
                <pt idx="6">
                  <v>2022</v>
                </pt>
              </numCache>
            </numRef>
          </cat>
          <val>
            <numRef>
              <f>'State Summary Graphs'!$J$5:$J$11</f>
              <numCache>
                <formatCode>#,##0</formatCode>
                <ptCount val="7"/>
                <pt idx="0">
                  <v>60</v>
                </pt>
                <pt idx="1">
                  <v>43</v>
                </pt>
                <pt idx="2">
                  <v>23</v>
                </pt>
                <pt idx="3">
                  <v>46</v>
                </pt>
                <pt idx="4">
                  <v>18</v>
                </pt>
                <pt idx="5">
                  <v>11</v>
                </pt>
                <pt idx="6">
                  <v>9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dropLines>
          <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dropLines>
        <smooth val="0"/>
        <axId val="596353552"/>
        <axId val="1053719088"/>
      </lineChart>
      <catAx>
        <axId val="59635355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53719088"/>
        <crosses val="autoZero"/>
        <auto val="1"/>
        <lblAlgn val="ctr"/>
        <lblOffset val="100"/>
        <noMultiLvlLbl val="0"/>
      </catAx>
      <valAx>
        <axId val="1053719088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596353552"/>
        <crosses val="autoZero"/>
        <crossBetween val="between"/>
      </valAx>
    </plotArea>
    <plotVisOnly val="1"/>
    <dispBlanksAs val="gap"/>
  </chart>
  <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'State Summary Graphs'!$K$4</f>
              <strCache>
                <ptCount val="1"/>
                <pt idx="0">
                  <v>Phishing</v>
                </pt>
              </strCache>
            </strRef>
          </tx>
          <spPr>
            <a:ln w="25400" cap="rnd">
              <a:solidFill>
                <a:schemeClr val="l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solidFill>
                <a:schemeClr val="accent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'State Summary Graphs'!$B$5:$B$11</f>
              <numCache>
                <formatCode>General</formatCode>
                <ptCount val="7"/>
                <pt idx="0">
                  <v>2016</v>
                </pt>
                <pt idx="1">
                  <v>2017</v>
                </pt>
                <pt idx="2">
                  <v>2018</v>
                </pt>
                <pt idx="3">
                  <v>2019</v>
                </pt>
                <pt idx="4">
                  <v>2020</v>
                </pt>
                <pt idx="5">
                  <v>2021</v>
                </pt>
                <pt idx="6">
                  <v>2022</v>
                </pt>
              </numCache>
            </numRef>
          </cat>
          <val>
            <numRef>
              <f>'State Summary Graphs'!$K$5:$K$11</f>
              <numCache>
                <formatCode>#,##0</formatCode>
                <ptCount val="7"/>
                <pt idx="0">
                  <v>298</v>
                </pt>
                <pt idx="1">
                  <v>347</v>
                </pt>
                <pt idx="2">
                  <v>311</v>
                </pt>
                <pt idx="3">
                  <v>310</v>
                </pt>
                <pt idx="4">
                  <v>379</v>
                </pt>
                <pt idx="5">
                  <v>438</v>
                </pt>
                <pt idx="6">
                  <v>296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dropLines>
          <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dropLines>
        <smooth val="0"/>
        <axId val="606120496"/>
        <axId val="1084323936"/>
      </lineChart>
      <catAx>
        <axId val="6061204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84323936"/>
        <crosses val="autoZero"/>
        <auto val="1"/>
        <lblAlgn val="ctr"/>
        <lblOffset val="100"/>
        <noMultiLvlLbl val="0"/>
      </catAx>
      <valAx>
        <axId val="1084323936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606120496"/>
        <crosses val="autoZero"/>
        <crossBetween val="between"/>
      </valAx>
    </plotArea>
    <plotVisOnly val="1"/>
    <dispBlanksAs val="gap"/>
  </chart>
  <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'State Summary Graphs'!$L$4</f>
              <strCache>
                <ptCount val="1"/>
                <pt idx="0">
                  <v>Ransomware</v>
                </pt>
              </strCache>
            </strRef>
          </tx>
          <spPr>
            <a:ln w="25400" cap="rnd">
              <a:solidFill>
                <a:schemeClr val="l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solidFill>
                <a:schemeClr val="accent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'State Summary Graphs'!$B$5:$B$11</f>
              <numCache>
                <formatCode>General</formatCode>
                <ptCount val="7"/>
                <pt idx="0">
                  <v>2016</v>
                </pt>
                <pt idx="1">
                  <v>2017</v>
                </pt>
                <pt idx="2">
                  <v>2018</v>
                </pt>
                <pt idx="3">
                  <v>2019</v>
                </pt>
                <pt idx="4">
                  <v>2020</v>
                </pt>
                <pt idx="5">
                  <v>2021</v>
                </pt>
                <pt idx="6">
                  <v>2022</v>
                </pt>
              </numCache>
            </numRef>
          </cat>
          <val>
            <numRef>
              <f>'State Summary Graphs'!$L$5:$L$11</f>
              <numCache>
                <formatCode>#,##0</formatCode>
                <ptCount val="7"/>
                <pt idx="0">
                  <v>49</v>
                </pt>
                <pt idx="1">
                  <v>33</v>
                </pt>
                <pt idx="2">
                  <v>20</v>
                </pt>
                <pt idx="3">
                  <v>34</v>
                </pt>
                <pt idx="4">
                  <v>34</v>
                </pt>
                <pt idx="5">
                  <v>47</v>
                </pt>
                <pt idx="6">
                  <v>31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dropLines>
          <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dropLines>
        <smooth val="0"/>
        <axId val="938076656"/>
        <axId val="1089729840"/>
      </lineChart>
      <catAx>
        <axId val="938076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89729840"/>
        <crosses val="autoZero"/>
        <auto val="1"/>
        <lblAlgn val="ctr"/>
        <lblOffset val="100"/>
        <noMultiLvlLbl val="0"/>
      </catAx>
      <valAx>
        <axId val="1089729840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938076656"/>
        <crosses val="autoZero"/>
        <crossBetween val="between"/>
      </valAx>
    </plotArea>
    <plotVisOnly val="1"/>
    <dispBlanksAs val="gap"/>
  </chart>
  <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System Intrusion</a:t>
            </a:r>
            <a:r>
              <a:rPr lang="en-US" baseline="0"/>
              <a:t xml:space="preserve"> Crime Group State IC3 Data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'State Summary Graphs'!$H$4</f>
              <strCache>
                <ptCount val="1"/>
                <pt idx="0">
                  <v>Data Breach</v>
                </pt>
              </strCache>
            </strRef>
          </tx>
          <spPr>
            <a:ln w="317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7"/>
            <spPr>
              <a:solidFill>
                <a:schemeClr val="accent1"/>
              </a:solidFill>
              <a:ln>
                <a:noFill/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'State Summary Graphs'!$B$5:$B$11</f>
              <numCache>
                <formatCode>General</formatCode>
                <ptCount val="7"/>
                <pt idx="0">
                  <v>2016</v>
                </pt>
                <pt idx="1">
                  <v>2017</v>
                </pt>
                <pt idx="2">
                  <v>2018</v>
                </pt>
                <pt idx="3">
                  <v>2019</v>
                </pt>
                <pt idx="4">
                  <v>2020</v>
                </pt>
                <pt idx="5">
                  <v>2021</v>
                </pt>
                <pt idx="6">
                  <v>2022</v>
                </pt>
              </numCache>
            </numRef>
          </cat>
          <val>
            <numRef>
              <f>'State Summary Graphs'!$H$5:$H$11</f>
              <numCache>
                <formatCode>#,##0</formatCode>
                <ptCount val="7"/>
                <pt idx="0">
                  <v>53</v>
                </pt>
                <pt idx="1">
                  <v>53</v>
                </pt>
                <pt idx="2">
                  <v>28</v>
                </pt>
                <pt idx="3">
                  <v>21</v>
                </pt>
                <pt idx="4">
                  <v>29</v>
                </pt>
                <pt idx="5">
                  <v>21</v>
                </pt>
                <pt idx="6">
                  <v>44</v>
                </pt>
              </numCache>
            </numRef>
          </val>
          <smooth val="0"/>
        </ser>
        <ser>
          <idx val="1"/>
          <order val="1"/>
          <tx>
            <strRef>
              <f>'State Summary Graphs'!$I$4</f>
              <strCache>
                <ptCount val="1"/>
                <pt idx="0">
                  <v>Personal Data Breach</v>
                </pt>
              </strCache>
            </strRef>
          </tx>
          <spPr>
            <a:ln w="317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17"/>
            <spPr>
              <a:solidFill>
                <a:schemeClr val="accent2"/>
              </a:solidFill>
              <a:ln>
                <a:noFill/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'State Summary Graphs'!$B$5:$B$11</f>
              <numCache>
                <formatCode>General</formatCode>
                <ptCount val="7"/>
                <pt idx="0">
                  <v>2016</v>
                </pt>
                <pt idx="1">
                  <v>2017</v>
                </pt>
                <pt idx="2">
                  <v>2018</v>
                </pt>
                <pt idx="3">
                  <v>2019</v>
                </pt>
                <pt idx="4">
                  <v>2020</v>
                </pt>
                <pt idx="5">
                  <v>2021</v>
                </pt>
                <pt idx="6">
                  <v>2022</v>
                </pt>
              </numCache>
            </numRef>
          </cat>
          <val>
            <numRef>
              <f>'State Summary Graphs'!$I$5:$I$11</f>
              <numCache>
                <formatCode>#,##0</formatCode>
                <ptCount val="7"/>
                <pt idx="0">
                  <v>429</v>
                </pt>
                <pt idx="1">
                  <v>490</v>
                </pt>
                <pt idx="2">
                  <v>697</v>
                </pt>
                <pt idx="3">
                  <v>507</v>
                </pt>
                <pt idx="4">
                  <v>714</v>
                </pt>
                <pt idx="5">
                  <v>742</v>
                </pt>
                <pt idx="6">
                  <v>903</v>
                </pt>
              </numCache>
            </numRef>
          </val>
          <smooth val="0"/>
        </ser>
        <ser>
          <idx val="2"/>
          <order val="2"/>
          <tx>
            <strRef>
              <f>'State Summary Graphs'!$J$4</f>
              <strCache>
                <ptCount val="1"/>
                <pt idx="0">
                  <v>Malware</v>
                </pt>
              </strCache>
            </strRef>
          </tx>
          <spPr>
            <a:ln w="31750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17"/>
            <spPr>
              <a:solidFill>
                <a:schemeClr val="accent3"/>
              </a:solidFill>
              <a:ln>
                <a:noFill/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'State Summary Graphs'!$J$5:$J$11</f>
              <numCache>
                <formatCode>#,##0</formatCode>
                <ptCount val="7"/>
                <pt idx="0">
                  <v>60</v>
                </pt>
                <pt idx="1">
                  <v>43</v>
                </pt>
                <pt idx="2">
                  <v>23</v>
                </pt>
                <pt idx="3">
                  <v>46</v>
                </pt>
                <pt idx="4">
                  <v>18</v>
                </pt>
                <pt idx="5">
                  <v>11</v>
                </pt>
                <pt idx="6">
                  <v>9</v>
                </pt>
              </numCache>
            </numRef>
          </val>
          <smooth val="0"/>
        </ser>
        <ser>
          <idx val="3"/>
          <order val="3"/>
          <tx>
            <strRef>
              <f>'State Summary Graphs'!$K$4</f>
              <strCache>
                <ptCount val="1"/>
                <pt idx="0">
                  <v>Phishing</v>
                </pt>
              </strCache>
            </strRef>
          </tx>
          <spPr>
            <a:ln w="31750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17"/>
            <spPr>
              <a:solidFill>
                <a:schemeClr val="accent4"/>
              </a:solidFill>
              <a:ln>
                <a:noFill/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'State Summary Graphs'!$K$5:$K$11</f>
              <numCache>
                <formatCode>#,##0</formatCode>
                <ptCount val="7"/>
                <pt idx="0">
                  <v>298</v>
                </pt>
                <pt idx="1">
                  <v>347</v>
                </pt>
                <pt idx="2">
                  <v>311</v>
                </pt>
                <pt idx="3">
                  <v>310</v>
                </pt>
                <pt idx="4">
                  <v>379</v>
                </pt>
                <pt idx="5">
                  <v>438</v>
                </pt>
                <pt idx="6">
                  <v>296</v>
                </pt>
              </numCache>
            </numRef>
          </val>
          <smooth val="0"/>
        </ser>
        <ser>
          <idx val="4"/>
          <order val="4"/>
          <tx>
            <strRef>
              <f>'State Summary Graphs'!$L$4</f>
              <strCache>
                <ptCount val="1"/>
                <pt idx="0">
                  <v>Ransomware</v>
                </pt>
              </strCache>
            </strRef>
          </tx>
          <spPr>
            <a:ln w="31750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17"/>
            <spPr>
              <a:solidFill>
                <a:schemeClr val="accent5"/>
              </a:solidFill>
              <a:ln>
                <a:noFill/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'State Summary Graphs'!$L$5:$L$11</f>
              <numCache>
                <formatCode>#,##0</formatCode>
                <ptCount val="7"/>
                <pt idx="0">
                  <v>49</v>
                </pt>
                <pt idx="1">
                  <v>33</v>
                </pt>
                <pt idx="2">
                  <v>20</v>
                </pt>
                <pt idx="3">
                  <v>34</v>
                </pt>
                <pt idx="4">
                  <v>34</v>
                </pt>
                <pt idx="5">
                  <v>47</v>
                </pt>
                <pt idx="6">
                  <v>31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629287856"/>
        <axId val="1084320464"/>
      </lineChart>
      <catAx>
        <axId val="629287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84320464"/>
        <crosses val="autoZero"/>
        <auto val="1"/>
        <lblAlgn val="ctr"/>
        <lblOffset val="100"/>
        <noMultiLvlLbl val="0"/>
      </catAx>
      <valAx>
        <axId val="1084320464"/>
        <scaling>
          <orientation val="minMax"/>
        </scaling>
        <delete val="1"/>
        <axPos val="l"/>
        <majorGridlines>
          <spPr>
            <a:ln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crossAx val="629287856"/>
        <crosses val="autoZero"/>
        <crossBetween val="between"/>
      </valAx>
    </plotArea>
    <legend>
      <legendPos val="b"/>
      <overlay val="0"/>
      <spPr>
        <a:solidFill>
          <a:schemeClr val="lt1">
            <a:alpha val="39000"/>
            <a:lumMod val="95000"/>
          </a:schemeClr>
        </a:solidFill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259080</colOff>
      <row>13</row>
      <rowOff>125730</rowOff>
    </from>
    <to>
      <col>8</col>
      <colOff>845820</colOff>
      <row>28</row>
      <rowOff>125730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205740</colOff>
      <row>13</row>
      <rowOff>125730</rowOff>
    </from>
    <to>
      <col>14</col>
      <colOff>899160</colOff>
      <row>28</row>
      <rowOff>125730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</col>
      <colOff>289560</colOff>
      <row>29</row>
      <rowOff>163830</rowOff>
    </from>
    <to>
      <col>8</col>
      <colOff>853440</colOff>
      <row>44</row>
      <rowOff>163830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9</col>
      <colOff>198120</colOff>
      <row>30</row>
      <rowOff>19050</rowOff>
    </from>
    <to>
      <col>14</col>
      <colOff>922020</colOff>
      <row>45</row>
      <rowOff>19050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</col>
      <colOff>243840</colOff>
      <row>46</row>
      <rowOff>34290</rowOff>
    </from>
    <to>
      <col>12</col>
      <colOff>342900</colOff>
      <row>71</row>
      <rowOff>144780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4762500" cy="2381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26</row>
      <rowOff>0</rowOff>
    </from>
    <ext cx="4762500" cy="23812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50</row>
      <rowOff>0</rowOff>
    </from>
    <ext cx="4762500" cy="23812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74</row>
      <rowOff>0</rowOff>
    </from>
    <ext cx="4762500" cy="2381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98</row>
      <rowOff>0</rowOff>
    </from>
    <ext cx="4762500" cy="23812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122</row>
      <rowOff>0</rowOff>
    </from>
    <ext cx="4762500" cy="23812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146</row>
      <rowOff>0</rowOff>
    </from>
    <ext cx="4762500" cy="23812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170</row>
      <rowOff>0</rowOff>
    </from>
    <ext cx="4762500" cy="23812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194</row>
      <rowOff>0</rowOff>
    </from>
    <ext cx="4762500" cy="23812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218</row>
      <rowOff>0</rowOff>
    </from>
    <ext cx="4762500" cy="23812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242</row>
      <rowOff>0</rowOff>
    </from>
    <ext cx="4762500" cy="23812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266</row>
      <rowOff>0</rowOff>
    </from>
    <ext cx="4762500" cy="23812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290</row>
      <rowOff>0</rowOff>
    </from>
    <ext cx="4762500" cy="23812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314</row>
      <rowOff>0</rowOff>
    </from>
    <ext cx="4762500" cy="23812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338</row>
      <rowOff>0</rowOff>
    </from>
    <ext cx="4762500" cy="23812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362</row>
      <rowOff>0</rowOff>
    </from>
    <ext cx="4762500" cy="23812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386</row>
      <rowOff>0</rowOff>
    </from>
    <ext cx="4762500" cy="23812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410</row>
      <rowOff>0</rowOff>
    </from>
    <ext cx="4762500" cy="23812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434</row>
      <rowOff>0</rowOff>
    </from>
    <ext cx="4762500" cy="23812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458</row>
      <rowOff>0</rowOff>
    </from>
    <ext cx="4762500" cy="23812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482</row>
      <rowOff>0</rowOff>
    </from>
    <ext cx="4762500" cy="23812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506</row>
      <rowOff>0</rowOff>
    </from>
    <ext cx="4762500" cy="23812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530</row>
      <rowOff>0</rowOff>
    </from>
    <ext cx="4762500" cy="23812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554</row>
      <rowOff>0</rowOff>
    </from>
    <ext cx="4762500" cy="23812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578</row>
      <rowOff>0</rowOff>
    </from>
    <ext cx="4762500" cy="23812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602</row>
      <rowOff>0</rowOff>
    </from>
    <ext cx="4762500" cy="23812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626</row>
      <rowOff>0</rowOff>
    </from>
    <ext cx="4762500" cy="23812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650</row>
      <rowOff>0</rowOff>
    </from>
    <ext cx="4762500" cy="23812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674</row>
      <rowOff>0</rowOff>
    </from>
    <ext cx="4762500" cy="23812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698</row>
      <rowOff>0</rowOff>
    </from>
    <ext cx="4762500" cy="23812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Table1" displayName="Table1" ref="B4:R11" headerRowCount="1" totalsRowShown="0">
  <autoFilter ref="B4:R11"/>
  <sortState ref="B5:R11">
    <sortCondition ref="B4:B11"/>
  </sortState>
  <tableColumns count="17">
    <tableColumn id="1" name="Year"/>
    <tableColumn id="2" name="City Population" dataDxfId="11"/>
    <tableColumn id="3" name="Column1"/>
    <tableColumn id="4" name="Column2"/>
    <tableColumn id="5" name="Column3"/>
    <tableColumn id="6" name="Crimes"/>
    <tableColumn id="7" name="Data Breach" dataDxfId="10"/>
    <tableColumn id="8" name="Personal Data Breach" dataDxfId="9"/>
    <tableColumn id="9" name="Malware" dataDxfId="8"/>
    <tableColumn id="10" name="Phishing" dataDxfId="7"/>
    <tableColumn id="11" name="Ransomware" dataDxfId="6"/>
    <tableColumn id="12" name="Crimes Against Children" dataDxfId="5"/>
    <tableColumn id="13" name="Extortion" dataDxfId="4"/>
    <tableColumn id="14" name="Threats/Stalking/Harassment/Terrorism" dataDxfId="3"/>
    <tableColumn id="15" name="IPR/Counterfeit" dataDxfId="2"/>
    <tableColumn id="16" name="Identify Theft" dataDxfId="1"/>
    <tableColumn id="17" name="BEC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c3.gov/Media/PDF/AnnualReport/2016State/StateReport.aspx" TargetMode="External" Id="rId1" /><Relationship Type="http://schemas.openxmlformats.org/officeDocument/2006/relationships/hyperlink" Target="https://www.ic3.gov/Media/PDF/AnnualReport/2016State/StateReport.aspx" TargetMode="External" Id="rId2" /><Relationship Type="http://schemas.openxmlformats.org/officeDocument/2006/relationships/hyperlink" Target="https://www.ic3.gov/Media/PDF/AnnualReport/2016State/StateReport.aspx" TargetMode="External" Id="rId3" /><Relationship Type="http://schemas.openxmlformats.org/officeDocument/2006/relationships/hyperlink" Target="https://www.ic3.gov/Media/PDF/AnnualReport/2016State/StateReport.aspx" TargetMode="External" Id="rId4" /><Relationship Type="http://schemas.openxmlformats.org/officeDocument/2006/relationships/hyperlink" Target="https://www.ic3.gov/Media/PDF/AnnualReport/2016State/StateReport.aspx" TargetMode="External" Id="rId5" /><Relationship Type="http://schemas.openxmlformats.org/officeDocument/2006/relationships/hyperlink" Target="https://www.ic3.gov/Media/PDF/AnnualReport/2016State/StateReport.aspx" TargetMode="External" Id="rId6" /><Relationship Type="http://schemas.openxmlformats.org/officeDocument/2006/relationships/hyperlink" Target="https://www.ic3.gov/Media/PDF/AnnualReport/2016State/StateReport.aspx" TargetMode="External" Id="rId7" /><Relationship Type="http://schemas.openxmlformats.org/officeDocument/2006/relationships/hyperlink" Target="https://www.ic3.gov/Media/PDF/AnnualReport/2016State/StateReport.aspx" TargetMode="External" Id="rId8" /><Relationship Type="http://schemas.openxmlformats.org/officeDocument/2006/relationships/hyperlink" Target="https://www.ic3.gov/Media/PDF/AnnualReport/2016State/StateReport.aspx" TargetMode="External" Id="rId9" /><Relationship Type="http://schemas.openxmlformats.org/officeDocument/2006/relationships/hyperlink" Target="https://www.ic3.gov/Media/PDF/AnnualReport/2016State/StateReport.aspx" TargetMode="External" Id="rId10" /><Relationship Type="http://schemas.openxmlformats.org/officeDocument/2006/relationships/hyperlink" Target="https://www.ic3.gov/Media/PDF/AnnualReport/2016State/StateReport.aspx" TargetMode="External" Id="rId11" /><Relationship Type="http://schemas.openxmlformats.org/officeDocument/2006/relationships/hyperlink" Target="https://www.ic3.gov/Media/PDF/AnnualReport/2016State/StateReport.aspx" TargetMode="External" Id="rId12" /><Relationship Type="http://schemas.openxmlformats.org/officeDocument/2006/relationships/hyperlink" Target="https://www.ic3.gov/Media/PDF/AnnualReport/2016State/StateReport.aspx" TargetMode="External" Id="rId13" /><Relationship Type="http://schemas.openxmlformats.org/officeDocument/2006/relationships/hyperlink" Target="https://www.ic3.gov/Media/PDF/AnnualReport/2016State/StateReport.aspx" TargetMode="External" Id="rId14" /><Relationship Type="http://schemas.openxmlformats.org/officeDocument/2006/relationships/hyperlink" Target="https://www.ic3.gov/Media/PDF/AnnualReport/2016State/StateReport.aspx" TargetMode="External" Id="rId15" /><Relationship Type="http://schemas.openxmlformats.org/officeDocument/2006/relationships/hyperlink" Target="https://www.ic3.gov/Media/PDF/AnnualReport/2016State/StateReport.aspx" TargetMode="External" Id="rId16" /><Relationship Type="http://schemas.openxmlformats.org/officeDocument/2006/relationships/hyperlink" Target="https://www.ic3.gov/Media/PDF/AnnualReport/2016State/StateReport.aspx" TargetMode="External" Id="rId17" /><Relationship Type="http://schemas.openxmlformats.org/officeDocument/2006/relationships/hyperlink" Target="https://www.ic3.gov/Media/PDF/AnnualReport/2016State/StateReport.aspx" TargetMode="External" Id="rId18" /><Relationship Type="http://schemas.openxmlformats.org/officeDocument/2006/relationships/hyperlink" Target="https://www.ic3.gov/Media/PDF/AnnualReport/2016State/StateReport.aspx" TargetMode="External" Id="rId19" /><Relationship Type="http://schemas.openxmlformats.org/officeDocument/2006/relationships/hyperlink" Target="https://www.ic3.gov/Media/PDF/AnnualReport/2016State/StateReport.aspx" TargetMode="External" Id="rId20" /><Relationship Type="http://schemas.openxmlformats.org/officeDocument/2006/relationships/hyperlink" Target="https://www.ic3.gov/Media/PDF/AnnualReport/2016State/StateReport.aspx" TargetMode="External" Id="rId21" /><Relationship Type="http://schemas.openxmlformats.org/officeDocument/2006/relationships/hyperlink" Target="https://www.ic3.gov/Media/PDF/AnnualReport/2016State/StateReport.aspx" TargetMode="External" Id="rId22" /><Relationship Type="http://schemas.openxmlformats.org/officeDocument/2006/relationships/hyperlink" Target="https://www.ic3.gov/Media/PDF/AnnualReport/2016State/StateReport.aspx" TargetMode="External" Id="rId23" /><Relationship Type="http://schemas.openxmlformats.org/officeDocument/2006/relationships/hyperlink" Target="https://www.ic3.gov/Media/PDF/AnnualReport/2016State/StateReport.aspx" TargetMode="External" Id="rId24" /><Relationship Type="http://schemas.openxmlformats.org/officeDocument/2006/relationships/hyperlink" Target="https://www.ic3.gov/Media/PDF/AnnualReport/2016State/StateReport.aspx" TargetMode="External" Id="rId25" /><Relationship Type="http://schemas.openxmlformats.org/officeDocument/2006/relationships/hyperlink" Target="https://www.ic3.gov/Media/PDF/AnnualReport/2016State/StateReport.aspx" TargetMode="External" Id="rId26" /><Relationship Type="http://schemas.openxmlformats.org/officeDocument/2006/relationships/hyperlink" Target="https://www.ic3.gov/Media/PDF/AnnualReport/2016State/StateReport.aspx" TargetMode="External" Id="rId27" /><Relationship Type="http://schemas.openxmlformats.org/officeDocument/2006/relationships/hyperlink" Target="https://www.ic3.gov/Media/PDF/AnnualReport/2016State/StateReport.aspx" TargetMode="External" Id="rId28" /><Relationship Type="http://schemas.openxmlformats.org/officeDocument/2006/relationships/hyperlink" Target="https://www.ic3.gov/Media/PDF/AnnualReport/2016State/StateReport.aspx" TargetMode="External" Id="rId29" /><Relationship Type="http://schemas.openxmlformats.org/officeDocument/2006/relationships/hyperlink" Target="https://www.ic3.gov/Media/PDF/AnnualReport/2016State/StateReport.aspx" TargetMode="External" Id="rId3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c3.gov/Media/PDF/AnnualReport/2017State/StateReport.aspx" TargetMode="External" Id="rId1" /><Relationship Type="http://schemas.openxmlformats.org/officeDocument/2006/relationships/hyperlink" Target="https://www.ic3.gov/Media/PDF/AnnualReport/2017State/StateReport.aspx" TargetMode="External" Id="rId2" /><Relationship Type="http://schemas.openxmlformats.org/officeDocument/2006/relationships/hyperlink" Target="https://www.ic3.gov/Media/PDF/AnnualReport/2017State/StateReport.aspx" TargetMode="External" Id="rId3" /><Relationship Type="http://schemas.openxmlformats.org/officeDocument/2006/relationships/hyperlink" Target="https://www.ic3.gov/Media/PDF/AnnualReport/2017State/StateReport.aspx" TargetMode="External" Id="rId4" /><Relationship Type="http://schemas.openxmlformats.org/officeDocument/2006/relationships/hyperlink" Target="https://www.ic3.gov/Media/PDF/AnnualReport/2017State/StateReport.aspx" TargetMode="External" Id="rId5" /><Relationship Type="http://schemas.openxmlformats.org/officeDocument/2006/relationships/hyperlink" Target="https://www.ic3.gov/Media/PDF/AnnualReport/2017State/StateReport.aspx" TargetMode="External" Id="rId6" /><Relationship Type="http://schemas.openxmlformats.org/officeDocument/2006/relationships/hyperlink" Target="https://www.ic3.gov/Media/PDF/AnnualReport/2017State/StateReport.aspx" TargetMode="External" Id="rId7" /><Relationship Type="http://schemas.openxmlformats.org/officeDocument/2006/relationships/hyperlink" Target="https://www.ic3.gov/Media/PDF/AnnualReport/2017State/StateReport.aspx" TargetMode="External" Id="rId8" /><Relationship Type="http://schemas.openxmlformats.org/officeDocument/2006/relationships/hyperlink" Target="https://www.ic3.gov/Media/PDF/AnnualReport/2017State/StateReport.aspx" TargetMode="External" Id="rId9" /><Relationship Type="http://schemas.openxmlformats.org/officeDocument/2006/relationships/hyperlink" Target="https://www.ic3.gov/Media/PDF/AnnualReport/2017State/StateReport.aspx" TargetMode="External" Id="rId10" /><Relationship Type="http://schemas.openxmlformats.org/officeDocument/2006/relationships/hyperlink" Target="https://www.ic3.gov/Media/PDF/AnnualReport/2017State/StateReport.aspx" TargetMode="External" Id="rId11" /><Relationship Type="http://schemas.openxmlformats.org/officeDocument/2006/relationships/hyperlink" Target="https://www.ic3.gov/Media/PDF/AnnualReport/2017State/StateReport.aspx" TargetMode="External" Id="rId12" /><Relationship Type="http://schemas.openxmlformats.org/officeDocument/2006/relationships/hyperlink" Target="https://www.ic3.gov/Media/PDF/AnnualReport/2017State/StateReport.aspx" TargetMode="External" Id="rId13" /><Relationship Type="http://schemas.openxmlformats.org/officeDocument/2006/relationships/hyperlink" Target="https://www.ic3.gov/Media/PDF/AnnualReport/2017State/StateReport.aspx" TargetMode="External" Id="rId14" /><Relationship Type="http://schemas.openxmlformats.org/officeDocument/2006/relationships/hyperlink" Target="https://www.ic3.gov/Media/PDF/AnnualReport/2017State/StateReport.aspx" TargetMode="External" Id="rId15" /><Relationship Type="http://schemas.openxmlformats.org/officeDocument/2006/relationships/hyperlink" Target="https://www.ic3.gov/Media/PDF/AnnualReport/2017State/StateReport.aspx" TargetMode="External" Id="rId16" /><Relationship Type="http://schemas.openxmlformats.org/officeDocument/2006/relationships/hyperlink" Target="https://www.ic3.gov/Media/PDF/AnnualReport/2017State/StateReport.aspx" TargetMode="External" Id="rId17" /><Relationship Type="http://schemas.openxmlformats.org/officeDocument/2006/relationships/hyperlink" Target="https://www.ic3.gov/Media/PDF/AnnualReport/2017State/StateReport.aspx" TargetMode="External" Id="rId18" /><Relationship Type="http://schemas.openxmlformats.org/officeDocument/2006/relationships/hyperlink" Target="https://www.ic3.gov/Media/PDF/AnnualReport/2017State/StateReport.aspx" TargetMode="External" Id="rId19" /><Relationship Type="http://schemas.openxmlformats.org/officeDocument/2006/relationships/hyperlink" Target="https://www.ic3.gov/Media/PDF/AnnualReport/2017State/StateReport.aspx" TargetMode="External" Id="rId20" /><Relationship Type="http://schemas.openxmlformats.org/officeDocument/2006/relationships/hyperlink" Target="https://www.ic3.gov/Media/PDF/AnnualReport/2017State/StateReport.aspx" TargetMode="External" Id="rId21" /><Relationship Type="http://schemas.openxmlformats.org/officeDocument/2006/relationships/hyperlink" Target="https://www.ic3.gov/Media/PDF/AnnualReport/2017State/StateReport.aspx" TargetMode="External" Id="rId22" /><Relationship Type="http://schemas.openxmlformats.org/officeDocument/2006/relationships/hyperlink" Target="https://www.ic3.gov/Media/PDF/AnnualReport/2017State/StateReport.aspx" TargetMode="External" Id="rId23" /><Relationship Type="http://schemas.openxmlformats.org/officeDocument/2006/relationships/hyperlink" Target="https://www.ic3.gov/Media/PDF/AnnualReport/2017State/StateReport.aspx" TargetMode="External" Id="rId24" /><Relationship Type="http://schemas.openxmlformats.org/officeDocument/2006/relationships/hyperlink" Target="https://www.ic3.gov/Media/PDF/AnnualReport/2017State/StateReport.aspx" TargetMode="External" Id="rId25" /><Relationship Type="http://schemas.openxmlformats.org/officeDocument/2006/relationships/hyperlink" Target="https://www.ic3.gov/Media/PDF/AnnualReport/2017State/StateReport.aspx" TargetMode="External" Id="rId26" /><Relationship Type="http://schemas.openxmlformats.org/officeDocument/2006/relationships/hyperlink" Target="https://www.ic3.gov/Media/PDF/AnnualReport/2017State/StateReport.aspx" TargetMode="External" Id="rId27" /><Relationship Type="http://schemas.openxmlformats.org/officeDocument/2006/relationships/hyperlink" Target="https://www.ic3.gov/Media/PDF/AnnualReport/2017State/StateReport.aspx" TargetMode="External" Id="rId28" /><Relationship Type="http://schemas.openxmlformats.org/officeDocument/2006/relationships/hyperlink" Target="https://www.ic3.gov/Media/PDF/AnnualReport/2017State/StateReport.aspx" TargetMode="External" Id="rId29" /><Relationship Type="http://schemas.openxmlformats.org/officeDocument/2006/relationships/hyperlink" Target="https://www.ic3.gov/Media/PDF/AnnualReport/2017State/StateReport.aspx" TargetMode="External" Id="rId30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ic3.gov/Media/PDF/AnnualReport/2018State/StateReport.aspx" TargetMode="External" Id="rId1" /><Relationship Type="http://schemas.openxmlformats.org/officeDocument/2006/relationships/hyperlink" Target="https://www.ic3.gov/Media/PDF/AnnualReport/2018State/StateReport.aspx" TargetMode="External" Id="rId2" /><Relationship Type="http://schemas.openxmlformats.org/officeDocument/2006/relationships/hyperlink" Target="https://www.ic3.gov/Media/PDF/AnnualReport/2018State/StateReport.aspx" TargetMode="External" Id="rId3" /><Relationship Type="http://schemas.openxmlformats.org/officeDocument/2006/relationships/hyperlink" Target="https://www.ic3.gov/Media/PDF/AnnualReport/2018State/StateReport.aspx" TargetMode="External" Id="rId4" /><Relationship Type="http://schemas.openxmlformats.org/officeDocument/2006/relationships/hyperlink" Target="https://www.ic3.gov/Media/PDF/AnnualReport/2018State/StateReport.aspx" TargetMode="External" Id="rId5" /><Relationship Type="http://schemas.openxmlformats.org/officeDocument/2006/relationships/hyperlink" Target="https://www.ic3.gov/Media/PDF/AnnualReport/2018State/StateReport.aspx" TargetMode="External" Id="rId6" /><Relationship Type="http://schemas.openxmlformats.org/officeDocument/2006/relationships/hyperlink" Target="https://www.ic3.gov/Media/PDF/AnnualReport/2018State/StateReport.aspx" TargetMode="External" Id="rId7" /><Relationship Type="http://schemas.openxmlformats.org/officeDocument/2006/relationships/hyperlink" Target="https://www.ic3.gov/Media/PDF/AnnualReport/2018State/StateReport.aspx" TargetMode="External" Id="rId8" /><Relationship Type="http://schemas.openxmlformats.org/officeDocument/2006/relationships/hyperlink" Target="https://www.ic3.gov/Media/PDF/AnnualReport/2018State/StateReport.aspx" TargetMode="External" Id="rId9" /><Relationship Type="http://schemas.openxmlformats.org/officeDocument/2006/relationships/hyperlink" Target="https://www.ic3.gov/Media/PDF/AnnualReport/2018State/StateReport.aspx" TargetMode="External" Id="rId10" /><Relationship Type="http://schemas.openxmlformats.org/officeDocument/2006/relationships/hyperlink" Target="https://www.ic3.gov/Media/PDF/AnnualReport/2018State/StateReport.aspx" TargetMode="External" Id="rId11" /><Relationship Type="http://schemas.openxmlformats.org/officeDocument/2006/relationships/hyperlink" Target="https://www.ic3.gov/Media/PDF/AnnualReport/2018State/StateReport.aspx" TargetMode="External" Id="rId12" /><Relationship Type="http://schemas.openxmlformats.org/officeDocument/2006/relationships/hyperlink" Target="https://www.ic3.gov/Media/PDF/AnnualReport/2018State/StateReport.aspx" TargetMode="External" Id="rId13" /><Relationship Type="http://schemas.openxmlformats.org/officeDocument/2006/relationships/hyperlink" Target="https://www.ic3.gov/Media/PDF/AnnualReport/2018State/StateReport.aspx" TargetMode="External" Id="rId14" /><Relationship Type="http://schemas.openxmlformats.org/officeDocument/2006/relationships/hyperlink" Target="https://www.ic3.gov/Media/PDF/AnnualReport/2018State/StateReport.aspx" TargetMode="External" Id="rId15" /><Relationship Type="http://schemas.openxmlformats.org/officeDocument/2006/relationships/hyperlink" Target="https://www.ic3.gov/Media/PDF/AnnualReport/2018State/StateReport.aspx" TargetMode="External" Id="rId16" /><Relationship Type="http://schemas.openxmlformats.org/officeDocument/2006/relationships/hyperlink" Target="https://www.ic3.gov/Media/PDF/AnnualReport/2018State/StateReport.aspx" TargetMode="External" Id="rId17" /><Relationship Type="http://schemas.openxmlformats.org/officeDocument/2006/relationships/hyperlink" Target="https://www.ic3.gov/Media/PDF/AnnualReport/2018State/StateReport.aspx" TargetMode="External" Id="rId18" /><Relationship Type="http://schemas.openxmlformats.org/officeDocument/2006/relationships/hyperlink" Target="https://www.ic3.gov/Media/PDF/AnnualReport/2018State/StateReport.aspx" TargetMode="External" Id="rId19" /><Relationship Type="http://schemas.openxmlformats.org/officeDocument/2006/relationships/hyperlink" Target="https://www.ic3.gov/Media/PDF/AnnualReport/2018State/StateReport.aspx" TargetMode="External" Id="rId20" /><Relationship Type="http://schemas.openxmlformats.org/officeDocument/2006/relationships/hyperlink" Target="https://www.ic3.gov/Media/PDF/AnnualReport/2018State/StateReport.aspx" TargetMode="External" Id="rId21" /><Relationship Type="http://schemas.openxmlformats.org/officeDocument/2006/relationships/hyperlink" Target="https://www.ic3.gov/Media/PDF/AnnualReport/2018State/StateReport.aspx" TargetMode="External" Id="rId22" /><Relationship Type="http://schemas.openxmlformats.org/officeDocument/2006/relationships/hyperlink" Target="https://www.ic3.gov/Media/PDF/AnnualReport/2018State/StateReport.aspx" TargetMode="External" Id="rId23" /><Relationship Type="http://schemas.openxmlformats.org/officeDocument/2006/relationships/hyperlink" Target="https://www.ic3.gov/Media/PDF/AnnualReport/2018State/StateReport.aspx" TargetMode="External" Id="rId24" /><Relationship Type="http://schemas.openxmlformats.org/officeDocument/2006/relationships/hyperlink" Target="https://www.ic3.gov/Media/PDF/AnnualReport/2018State/StateReport.aspx" TargetMode="External" Id="rId25" /><Relationship Type="http://schemas.openxmlformats.org/officeDocument/2006/relationships/hyperlink" Target="https://www.ic3.gov/Media/PDF/AnnualReport/2018State/StateReport.aspx" TargetMode="External" Id="rId26" /><Relationship Type="http://schemas.openxmlformats.org/officeDocument/2006/relationships/hyperlink" Target="https://www.ic3.gov/Media/PDF/AnnualReport/2018State/StateReport.aspx" TargetMode="External" Id="rId27" /><Relationship Type="http://schemas.openxmlformats.org/officeDocument/2006/relationships/hyperlink" Target="https://www.ic3.gov/Media/PDF/AnnualReport/2018State/StateReport.aspx" TargetMode="External" Id="rId28" /><Relationship Type="http://schemas.openxmlformats.org/officeDocument/2006/relationships/hyperlink" Target="https://www.ic3.gov/Media/PDF/AnnualReport/2018State/StateReport.aspx" TargetMode="External" Id="rId29" /><Relationship Type="http://schemas.openxmlformats.org/officeDocument/2006/relationships/hyperlink" Target="https://www.ic3.gov/Media/PDF/AnnualReport/2018State/StateReport.aspx" TargetMode="External" Id="rId3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2.census.gov/programs-surveys/popest/tables/2010-2019/state/totals/nst-est2019-01.xlsx" TargetMode="External" Id="rId1" /><Relationship Type="http://schemas.openxmlformats.org/officeDocument/2006/relationships/hyperlink" Target="https://www2.census.gov/programs-surveys/popest/tables/2010-2019/cities/totals/SUB-IP-EST2019-ANNRES-47.xlsx" TargetMode="External" Id="rId2" /><Relationship Type="http://schemas.openxmlformats.org/officeDocument/2006/relationships/hyperlink" Target="https://www.ic3.gov/Media/PDF/AnnualReport/2019State/StateReport.aspx" TargetMode="External" Id="rId3" /><Relationship Type="http://schemas.openxmlformats.org/officeDocument/2006/relationships/hyperlink" Target="https://www.ic3.gov/Media/PDF/AnnualReport/2019State/StateReport.aspx" TargetMode="External" Id="rId4" /><Relationship Type="http://schemas.openxmlformats.org/officeDocument/2006/relationships/hyperlink" Target="https://www.ic3.gov/Media/PDF/AnnualReport/2019State/StateReport.aspx" TargetMode="External" Id="rId5" /><Relationship Type="http://schemas.openxmlformats.org/officeDocument/2006/relationships/hyperlink" Target="https://www.ic3.gov/Media/PDF/AnnualReport/2019State/StateReport.aspx" TargetMode="External" Id="rId6" /><Relationship Type="http://schemas.openxmlformats.org/officeDocument/2006/relationships/hyperlink" Target="https://www.ic3.gov/Media/PDF/AnnualReport/2019State/StateReport.aspx" TargetMode="External" Id="rId7" /><Relationship Type="http://schemas.openxmlformats.org/officeDocument/2006/relationships/hyperlink" Target="https://www.ic3.gov/Media/PDF/AnnualReport/2019State/StateReport.aspx" TargetMode="External" Id="rId8" /><Relationship Type="http://schemas.openxmlformats.org/officeDocument/2006/relationships/hyperlink" Target="https://www.ic3.gov/Media/PDF/AnnualReport/2019State/StateReport.aspx" TargetMode="External" Id="rId9" /><Relationship Type="http://schemas.openxmlformats.org/officeDocument/2006/relationships/hyperlink" Target="https://www.ic3.gov/Media/PDF/AnnualReport/2019State/StateReport.aspx" TargetMode="External" Id="rId10" /><Relationship Type="http://schemas.openxmlformats.org/officeDocument/2006/relationships/hyperlink" Target="https://www.ic3.gov/Media/PDF/AnnualReport/2019State/StateReport.aspx" TargetMode="External" Id="rId11" /><Relationship Type="http://schemas.openxmlformats.org/officeDocument/2006/relationships/hyperlink" Target="https://www.ic3.gov/Media/PDF/AnnualReport/2019State/StateReport.aspx" TargetMode="External" Id="rId12" /><Relationship Type="http://schemas.openxmlformats.org/officeDocument/2006/relationships/hyperlink" Target="https://www.ic3.gov/Media/PDF/AnnualReport/2019State/StateReport.aspx" TargetMode="External" Id="rId13" /><Relationship Type="http://schemas.openxmlformats.org/officeDocument/2006/relationships/hyperlink" Target="https://www.ic3.gov/Media/PDF/AnnualReport/2019State/StateReport.aspx" TargetMode="External" Id="rId14" /><Relationship Type="http://schemas.openxmlformats.org/officeDocument/2006/relationships/hyperlink" Target="https://www.ic3.gov/Media/PDF/AnnualReport/2019State/StateReport.aspx" TargetMode="External" Id="rId15" /><Relationship Type="http://schemas.openxmlformats.org/officeDocument/2006/relationships/hyperlink" Target="https://www.ic3.gov/Media/PDF/AnnualReport/2019State/StateReport.aspx" TargetMode="External" Id="rId16" /><Relationship Type="http://schemas.openxmlformats.org/officeDocument/2006/relationships/hyperlink" Target="https://www.ic3.gov/Media/PDF/AnnualReport/2019State/StateReport.aspx" TargetMode="External" Id="rId17" /><Relationship Type="http://schemas.openxmlformats.org/officeDocument/2006/relationships/hyperlink" Target="https://www.ic3.gov/Media/PDF/AnnualReport/2019State/StateReport.aspx" TargetMode="External" Id="rId18" /><Relationship Type="http://schemas.openxmlformats.org/officeDocument/2006/relationships/hyperlink" Target="https://www.ic3.gov/Media/PDF/AnnualReport/2019State/StateReport.aspx" TargetMode="External" Id="rId19" /><Relationship Type="http://schemas.openxmlformats.org/officeDocument/2006/relationships/hyperlink" Target="https://www.ic3.gov/Media/PDF/AnnualReport/2019State/StateReport.aspx" TargetMode="External" Id="rId20" /><Relationship Type="http://schemas.openxmlformats.org/officeDocument/2006/relationships/hyperlink" Target="https://www.ic3.gov/Media/PDF/AnnualReport/2019State/StateReport.aspx" TargetMode="External" Id="rId21" /><Relationship Type="http://schemas.openxmlformats.org/officeDocument/2006/relationships/hyperlink" Target="https://www.ic3.gov/Media/PDF/AnnualReport/2019State/StateReport.aspx" TargetMode="External" Id="rId22" /><Relationship Type="http://schemas.openxmlformats.org/officeDocument/2006/relationships/hyperlink" Target="https://www.ic3.gov/Media/PDF/AnnualReport/2019State/StateReport.aspx" TargetMode="External" Id="rId23" /><Relationship Type="http://schemas.openxmlformats.org/officeDocument/2006/relationships/hyperlink" Target="https://www.ic3.gov/Media/PDF/AnnualReport/2019State/StateReport.aspx" TargetMode="External" Id="rId24" /><Relationship Type="http://schemas.openxmlformats.org/officeDocument/2006/relationships/hyperlink" Target="https://www.ic3.gov/Media/PDF/AnnualReport/2019State/StateReport.aspx" TargetMode="External" Id="rId25" /><Relationship Type="http://schemas.openxmlformats.org/officeDocument/2006/relationships/hyperlink" Target="https://www.ic3.gov/Media/PDF/AnnualReport/2019State/StateReport.aspx" TargetMode="External" Id="rId26" /><Relationship Type="http://schemas.openxmlformats.org/officeDocument/2006/relationships/hyperlink" Target="https://www.ic3.gov/Media/PDF/AnnualReport/2019State/StateReport.aspx" TargetMode="External" Id="rId27" /><Relationship Type="http://schemas.openxmlformats.org/officeDocument/2006/relationships/hyperlink" Target="https://www.ic3.gov/Media/PDF/AnnualReport/2019State/StateReport.aspx" TargetMode="External" Id="rId28" /><Relationship Type="http://schemas.openxmlformats.org/officeDocument/2006/relationships/hyperlink" Target="https://www.ic3.gov/Media/PDF/AnnualReport/2019State/StateReport.aspx" TargetMode="External" Id="rId29" /><Relationship Type="http://schemas.openxmlformats.org/officeDocument/2006/relationships/hyperlink" Target="https://www.ic3.gov/Media/PDF/AnnualReport/2019State/StateReport.aspx" TargetMode="External" Id="rId30" /><Relationship Type="http://schemas.openxmlformats.org/officeDocument/2006/relationships/hyperlink" Target="https://www.ic3.gov/Media/PDF/AnnualReport/2019State/StateReport.aspx" TargetMode="External" Id="rId31" /><Relationship Type="http://schemas.openxmlformats.org/officeDocument/2006/relationships/hyperlink" Target="https://www.ic3.gov/Media/PDF/AnnualReport/2019State/StateReport.aspx" TargetMode="External" Id="rId3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2.census.gov/programs-surveys/popest/datasets/2020-2022/state/totals/NST-EST2022-POPCHG2020_2022.csv" TargetMode="External" Id="rId1" /><Relationship Type="http://schemas.openxmlformats.org/officeDocument/2006/relationships/hyperlink" Target="https://www.census.gov/data/tables/time-series/demo/popest/2020s-total-cities-and-towns.html" TargetMode="External" Id="rId2" /><Relationship Type="http://schemas.openxmlformats.org/officeDocument/2006/relationships/hyperlink" Target="https://www.ic3.gov/Media/PDF/AnnualReport/2020State/StateReport.aspx" TargetMode="External" Id="rId3" /><Relationship Type="http://schemas.openxmlformats.org/officeDocument/2006/relationships/hyperlink" Target="https://www.ic3.gov/Media/PDF/AnnualReport/2020State/StateReport.aspx" TargetMode="External" Id="rId4" /><Relationship Type="http://schemas.openxmlformats.org/officeDocument/2006/relationships/hyperlink" Target="https://www.ic3.gov/Media/PDF/AnnualReport/2020State/StateReport.aspx" TargetMode="External" Id="rId5" /><Relationship Type="http://schemas.openxmlformats.org/officeDocument/2006/relationships/hyperlink" Target="https://www.ic3.gov/Media/PDF/AnnualReport/2020State/StateReport.aspx" TargetMode="External" Id="rId6" /><Relationship Type="http://schemas.openxmlformats.org/officeDocument/2006/relationships/hyperlink" Target="https://www.ic3.gov/Media/PDF/AnnualReport/2020State/StateReport.aspx" TargetMode="External" Id="rId7" /><Relationship Type="http://schemas.openxmlformats.org/officeDocument/2006/relationships/hyperlink" Target="https://www.ic3.gov/Media/PDF/AnnualReport/2020State/StateReport.aspx" TargetMode="External" Id="rId8" /><Relationship Type="http://schemas.openxmlformats.org/officeDocument/2006/relationships/hyperlink" Target="https://www.ic3.gov/Media/PDF/AnnualReport/2020State/StateReport.aspx" TargetMode="External" Id="rId9" /><Relationship Type="http://schemas.openxmlformats.org/officeDocument/2006/relationships/hyperlink" Target="https://www.ic3.gov/Media/PDF/AnnualReport/2020State/StateReport.aspx" TargetMode="External" Id="rId10" /><Relationship Type="http://schemas.openxmlformats.org/officeDocument/2006/relationships/hyperlink" Target="https://www.ic3.gov/Media/PDF/AnnualReport/2020State/StateReport.aspx" TargetMode="External" Id="rId11" /><Relationship Type="http://schemas.openxmlformats.org/officeDocument/2006/relationships/hyperlink" Target="https://www.ic3.gov/Media/PDF/AnnualReport/2020State/StateReport.aspx" TargetMode="External" Id="rId12" /><Relationship Type="http://schemas.openxmlformats.org/officeDocument/2006/relationships/hyperlink" Target="https://www.ic3.gov/Media/PDF/AnnualReport/2020State/StateReport.aspx" TargetMode="External" Id="rId13" /><Relationship Type="http://schemas.openxmlformats.org/officeDocument/2006/relationships/hyperlink" Target="https://www.ic3.gov/Media/PDF/AnnualReport/2020State/StateReport.aspx" TargetMode="External" Id="rId14" /><Relationship Type="http://schemas.openxmlformats.org/officeDocument/2006/relationships/hyperlink" Target="https://www.ic3.gov/Media/PDF/AnnualReport/2020State/StateReport.aspx" TargetMode="External" Id="rId15" /><Relationship Type="http://schemas.openxmlformats.org/officeDocument/2006/relationships/hyperlink" Target="https://www.ic3.gov/Media/PDF/AnnualReport/2020State/StateReport.aspx" TargetMode="External" Id="rId16" /><Relationship Type="http://schemas.openxmlformats.org/officeDocument/2006/relationships/hyperlink" Target="https://www.ic3.gov/Media/PDF/AnnualReport/2020State/StateReport.aspx" TargetMode="External" Id="rId17" /><Relationship Type="http://schemas.openxmlformats.org/officeDocument/2006/relationships/hyperlink" Target="https://www.ic3.gov/Media/PDF/AnnualReport/2020State/StateReport.aspx" TargetMode="External" Id="rId18" /><Relationship Type="http://schemas.openxmlformats.org/officeDocument/2006/relationships/hyperlink" Target="https://www.ic3.gov/Media/PDF/AnnualReport/2020State/StateReport.aspx" TargetMode="External" Id="rId19" /><Relationship Type="http://schemas.openxmlformats.org/officeDocument/2006/relationships/hyperlink" Target="https://www.ic3.gov/Media/PDF/AnnualReport/2020State/StateReport.aspx" TargetMode="External" Id="rId20" /><Relationship Type="http://schemas.openxmlformats.org/officeDocument/2006/relationships/hyperlink" Target="https://www.ic3.gov/Media/PDF/AnnualReport/2020State/StateReport.aspx" TargetMode="External" Id="rId21" /><Relationship Type="http://schemas.openxmlformats.org/officeDocument/2006/relationships/hyperlink" Target="https://www.ic3.gov/Media/PDF/AnnualReport/2020State/StateReport.aspx" TargetMode="External" Id="rId22" /><Relationship Type="http://schemas.openxmlformats.org/officeDocument/2006/relationships/hyperlink" Target="https://www.ic3.gov/Media/PDF/AnnualReport/2020State/StateReport.aspx" TargetMode="External" Id="rId23" /><Relationship Type="http://schemas.openxmlformats.org/officeDocument/2006/relationships/hyperlink" Target="https://www.ic3.gov/Media/PDF/AnnualReport/2020State/StateReport.aspx" TargetMode="External" Id="rId24" /><Relationship Type="http://schemas.openxmlformats.org/officeDocument/2006/relationships/hyperlink" Target="https://www.ic3.gov/Media/PDF/AnnualReport/2020State/StateReport.aspx" TargetMode="External" Id="rId25" /><Relationship Type="http://schemas.openxmlformats.org/officeDocument/2006/relationships/hyperlink" Target="https://www.ic3.gov/Media/PDF/AnnualReport/2020State/StateReport.aspx" TargetMode="External" Id="rId26" /><Relationship Type="http://schemas.openxmlformats.org/officeDocument/2006/relationships/hyperlink" Target="https://www.ic3.gov/Media/PDF/AnnualReport/2020State/StateReport.aspx" TargetMode="External" Id="rId27" /><Relationship Type="http://schemas.openxmlformats.org/officeDocument/2006/relationships/hyperlink" Target="https://www.ic3.gov/Media/PDF/AnnualReport/2020State/StateReport.aspx" TargetMode="External" Id="rId28" /><Relationship Type="http://schemas.openxmlformats.org/officeDocument/2006/relationships/hyperlink" Target="https://www.ic3.gov/Media/PDF/AnnualReport/2020State/StateReport.aspx" TargetMode="External" Id="rId29" /><Relationship Type="http://schemas.openxmlformats.org/officeDocument/2006/relationships/hyperlink" Target="https://www.ic3.gov/Media/PDF/AnnualReport/2020State/StateReport.aspx" TargetMode="External" Id="rId30" /><Relationship Type="http://schemas.openxmlformats.org/officeDocument/2006/relationships/hyperlink" Target="https://www.ic3.gov/Media/PDF/AnnualReport/2020State/StateReport.aspx" TargetMode="External" Id="rId31" /><Relationship Type="http://schemas.openxmlformats.org/officeDocument/2006/relationships/hyperlink" Target="https://www.ic3.gov/Media/PDF/AnnualReport/2020State/StateReport.aspx" TargetMode="External" Id="rId32" /></Relationships>
</file>

<file path=xl/worksheets/_rels/sheet7.xml.rels><Relationships xmlns="http://schemas.openxmlformats.org/package/2006/relationships"><Relationship Type="http://schemas.openxmlformats.org/officeDocument/2006/relationships/hyperlink" Target="https://www2.census.gov/programs-surveys/popest/datasets/2020-2022/state/totals/NST-EST2022-POPCHG2020_2022.csv" TargetMode="External" Id="rId1" /><Relationship Type="http://schemas.openxmlformats.org/officeDocument/2006/relationships/hyperlink" Target="https://www.census.gov/data/tables/time-series/demo/popest/2020s-total-cities-and-towns.html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11"/>
  <sheetViews>
    <sheetView topLeftCell="B1" workbookViewId="0">
      <selection activeCell="C11" sqref="B4:C11"/>
    </sheetView>
  </sheetViews>
  <sheetFormatPr baseColWidth="8" defaultRowHeight="14.4"/>
  <cols>
    <col width="6.5546875" customWidth="1" min="2" max="2"/>
    <col width="15.21875" customWidth="1" min="3" max="3"/>
    <col width="10.109375" customWidth="1" min="4" max="6"/>
    <col width="12.88671875" customWidth="1" min="8" max="8"/>
    <col width="20.33203125" customWidth="1" min="9" max="9"/>
    <col width="10.109375" customWidth="1" min="10" max="10"/>
    <col width="9.44140625" customWidth="1" min="11" max="11"/>
    <col width="13.5546875" customWidth="1" min="12" max="12"/>
    <col width="21.88671875" customWidth="1" min="13" max="13"/>
    <col width="10.44140625" customWidth="1" min="14" max="14"/>
    <col width="35.109375" customWidth="1" min="15" max="15"/>
    <col width="15.6640625" customWidth="1" min="16" max="16"/>
    <col width="13.88671875" bestFit="1" customWidth="1" min="17" max="17"/>
    <col width="12" bestFit="1" customWidth="1" min="18" max="18"/>
  </cols>
  <sheetData>
    <row r="2">
      <c r="B2" t="inlineStr">
        <is>
          <t>State IC3 Data</t>
        </is>
      </c>
    </row>
    <row r="3">
      <c r="H3" s="17" t="inlineStr">
        <is>
          <t>System Intrusion Group</t>
        </is>
      </c>
      <c r="M3" s="17" t="inlineStr">
        <is>
          <t>Threat to Personnel via Network</t>
        </is>
      </c>
      <c r="P3" s="17" t="inlineStr">
        <is>
          <t>Theft of Data via Network</t>
        </is>
      </c>
    </row>
    <row r="4">
      <c r="B4" t="inlineStr">
        <is>
          <t>Year</t>
        </is>
      </c>
      <c r="C4" t="inlineStr">
        <is>
          <t>City Population</t>
        </is>
      </c>
      <c r="D4" t="inlineStr">
        <is>
          <t>Column1</t>
        </is>
      </c>
      <c r="E4" t="inlineStr">
        <is>
          <t>Column2</t>
        </is>
      </c>
      <c r="F4" t="inlineStr">
        <is>
          <t>Column3</t>
        </is>
      </c>
      <c r="G4" t="inlineStr">
        <is>
          <t>Crimes</t>
        </is>
      </c>
      <c r="H4" t="inlineStr">
        <is>
          <t>Data Breach</t>
        </is>
      </c>
      <c r="I4" t="inlineStr">
        <is>
          <t>Personal Data Breach</t>
        </is>
      </c>
      <c r="J4" t="inlineStr">
        <is>
          <t>Malware</t>
        </is>
      </c>
      <c r="K4" t="inlineStr">
        <is>
          <t>Phishing</t>
        </is>
      </c>
      <c r="L4" t="inlineStr">
        <is>
          <t>Ransomware</t>
        </is>
      </c>
      <c r="M4" t="inlineStr">
        <is>
          <t>Crimes Against Children</t>
        </is>
      </c>
      <c r="N4" t="inlineStr">
        <is>
          <t>Extortion</t>
        </is>
      </c>
      <c r="O4" t="inlineStr">
        <is>
          <t>Threats/Stalking/Harassment/Terrorism</t>
        </is>
      </c>
      <c r="P4" t="inlineStr">
        <is>
          <t>IPR/Counterfeit</t>
        </is>
      </c>
      <c r="Q4" t="inlineStr">
        <is>
          <t>Identify Theft</t>
        </is>
      </c>
      <c r="R4" t="inlineStr">
        <is>
          <t>BEC</t>
        </is>
      </c>
    </row>
    <row r="5">
      <c r="B5" t="n">
        <v>2016</v>
      </c>
      <c r="C5" s="1">
        <f>'2016_IC3 State to City'!$E$6</f>
        <v/>
      </c>
      <c r="H5" s="1" t="n">
        <v>53</v>
      </c>
      <c r="I5" s="1" t="n">
        <v>429</v>
      </c>
      <c r="J5" s="1" t="n">
        <v>60</v>
      </c>
      <c r="K5" s="1" t="n">
        <v>298</v>
      </c>
      <c r="L5" s="1" t="n">
        <v>49</v>
      </c>
      <c r="M5" s="1" t="n">
        <v>14</v>
      </c>
      <c r="N5" s="1" t="n">
        <v>361</v>
      </c>
      <c r="O5" s="1" t="n">
        <v>276</v>
      </c>
      <c r="P5" s="1" t="n">
        <v>44</v>
      </c>
      <c r="Q5" s="1" t="n">
        <v>281</v>
      </c>
      <c r="R5" s="1" t="n">
        <v>161</v>
      </c>
    </row>
    <row r="6">
      <c r="B6" t="n">
        <v>2017</v>
      </c>
      <c r="C6" s="1">
        <f>'2017_IC3 State to City'!$E$6</f>
        <v/>
      </c>
      <c r="H6" s="1" t="n">
        <v>53</v>
      </c>
      <c r="I6" s="1" t="n">
        <v>490</v>
      </c>
      <c r="J6" s="1" t="n">
        <v>43</v>
      </c>
      <c r="K6" s="1" t="n">
        <v>347</v>
      </c>
      <c r="L6" s="1" t="n">
        <v>33</v>
      </c>
      <c r="M6" s="1" t="n">
        <v>19</v>
      </c>
      <c r="N6" s="1" t="n">
        <v>290</v>
      </c>
      <c r="O6" s="1" t="n">
        <v>230</v>
      </c>
      <c r="P6" s="1" t="n">
        <v>38</v>
      </c>
      <c r="Q6" s="1" t="n">
        <v>332</v>
      </c>
      <c r="R6" s="1" t="n">
        <v>184</v>
      </c>
    </row>
    <row r="7">
      <c r="B7" t="n">
        <v>2018</v>
      </c>
      <c r="C7" s="1">
        <f>'2018_IC3 State to City'!$E$6</f>
        <v/>
      </c>
      <c r="H7" s="1" t="n">
        <v>28</v>
      </c>
      <c r="I7" s="1" t="n">
        <v>697</v>
      </c>
      <c r="J7" s="1" t="n">
        <v>23</v>
      </c>
      <c r="K7" s="1" t="n">
        <v>311</v>
      </c>
      <c r="L7" s="1" t="n">
        <v>20</v>
      </c>
      <c r="M7" s="1" t="n">
        <v>28</v>
      </c>
      <c r="N7" s="1" t="n">
        <v>759</v>
      </c>
      <c r="O7" s="1" t="n">
        <v>262</v>
      </c>
      <c r="P7" s="1" t="n">
        <v>25</v>
      </c>
      <c r="Q7" s="1" t="n">
        <v>407</v>
      </c>
      <c r="R7" s="1" t="n">
        <v>297</v>
      </c>
    </row>
    <row r="8">
      <c r="B8" t="n">
        <v>2019</v>
      </c>
      <c r="C8" s="1">
        <f>'2019_IC3 State to City'!$E$6</f>
        <v/>
      </c>
      <c r="H8" s="1" t="n">
        <v>21</v>
      </c>
      <c r="I8" s="1" t="n">
        <v>507</v>
      </c>
      <c r="J8" s="1" t="n">
        <v>46</v>
      </c>
      <c r="K8" s="1" t="n">
        <v>310</v>
      </c>
      <c r="L8" s="1" t="n">
        <v>34</v>
      </c>
      <c r="M8" s="1" t="n">
        <v>23</v>
      </c>
      <c r="N8" s="1" t="n">
        <v>725</v>
      </c>
      <c r="O8" s="1" t="n">
        <v>199</v>
      </c>
      <c r="P8" s="1" t="n">
        <v>58</v>
      </c>
      <c r="Q8" s="1" t="n">
        <v>289</v>
      </c>
      <c r="R8" s="1" t="n">
        <v>331</v>
      </c>
    </row>
    <row r="9">
      <c r="B9" t="n">
        <v>2020</v>
      </c>
      <c r="C9" s="1">
        <f>'2020_IC3 State to City'!$E$6</f>
        <v/>
      </c>
      <c r="H9" s="1" t="n">
        <v>29</v>
      </c>
      <c r="I9" s="1" t="n">
        <v>714</v>
      </c>
      <c r="J9" s="1" t="n">
        <v>18</v>
      </c>
      <c r="K9" s="1" t="n">
        <v>379</v>
      </c>
      <c r="L9" s="1" t="n">
        <v>34</v>
      </c>
      <c r="M9" s="1" t="n">
        <v>60</v>
      </c>
      <c r="N9" s="1" t="n">
        <v>1185</v>
      </c>
      <c r="O9" s="1" t="n">
        <v>267</v>
      </c>
      <c r="P9" s="1" t="n">
        <v>75</v>
      </c>
      <c r="Q9" s="1" t="n">
        <v>419</v>
      </c>
      <c r="R9" s="1" t="n">
        <v>249</v>
      </c>
    </row>
    <row r="10">
      <c r="B10" t="n">
        <v>2021</v>
      </c>
      <c r="C10" s="1">
        <f>'2021_IC3 State to City'!$E$6</f>
        <v/>
      </c>
      <c r="H10" s="1" t="n">
        <v>21</v>
      </c>
      <c r="I10" s="1" t="n">
        <v>742</v>
      </c>
      <c r="J10" s="1" t="n">
        <v>11</v>
      </c>
      <c r="K10" s="1" t="n">
        <v>438</v>
      </c>
      <c r="L10" s="1" t="n">
        <v>47</v>
      </c>
      <c r="M10" s="1" t="n">
        <v>29</v>
      </c>
      <c r="N10" s="1" t="n">
        <v>628</v>
      </c>
      <c r="O10" s="1" t="n">
        <v>172</v>
      </c>
      <c r="P10" s="1" t="n">
        <v>60</v>
      </c>
      <c r="Q10" s="1" t="n">
        <v>529</v>
      </c>
      <c r="R10" s="1" t="n">
        <v>321</v>
      </c>
    </row>
    <row r="11">
      <c r="B11" t="n">
        <v>2022</v>
      </c>
      <c r="C11" s="1">
        <f>'2022_IC3 State to City'!$E$6</f>
        <v/>
      </c>
      <c r="H11" s="1" t="n">
        <v>44</v>
      </c>
      <c r="I11" s="1" t="n">
        <v>903</v>
      </c>
      <c r="J11" s="1" t="n">
        <v>9</v>
      </c>
      <c r="K11" s="1" t="n">
        <v>296</v>
      </c>
      <c r="L11" s="1" t="n">
        <v>31</v>
      </c>
      <c r="M11" s="1" t="n">
        <v>54</v>
      </c>
      <c r="N11" s="1" t="n">
        <v>695</v>
      </c>
      <c r="O11" s="1" t="n">
        <v>28</v>
      </c>
      <c r="P11" s="1" t="n">
        <v>19</v>
      </c>
      <c r="Q11" s="1" t="n">
        <v>539</v>
      </c>
      <c r="R11" s="1">
        <f>'2022_IC3 State to City'!$E$8</f>
        <v/>
      </c>
    </row>
  </sheetData>
  <mergeCells count="3">
    <mergeCell ref="H3:L3"/>
    <mergeCell ref="P3:R3"/>
    <mergeCell ref="M3:O3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P40"/>
  <sheetViews>
    <sheetView topLeftCell="B7" workbookViewId="0">
      <selection activeCell="F29" sqref="F29"/>
    </sheetView>
  </sheetViews>
  <sheetFormatPr baseColWidth="8" defaultRowHeight="14.4"/>
  <cols>
    <col width="70.109375" customWidth="1" min="2" max="2"/>
    <col width="27.5546875" bestFit="1" customWidth="1" min="3" max="3"/>
    <col width="17.6640625" customWidth="1" min="4" max="4"/>
    <col width="8.88671875" customWidth="1" min="5" max="5"/>
    <col width="24.6640625" customWidth="1" min="6" max="6"/>
    <col width="48.88671875" customWidth="1" min="7" max="7"/>
    <col width="41.88671875" customWidth="1" style="18" min="8" max="8"/>
    <col width="44" customWidth="1" style="19" min="9" max="9"/>
    <col width="56.21875" customWidth="1" min="10" max="10"/>
    <col width="34.21875" customWidth="1" style="8" min="11" max="13"/>
    <col width="44.6640625" customWidth="1" min="14" max="15"/>
    <col width="37.77734375" bestFit="1" customWidth="1" min="16" max="16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s="18" t="inlineStr">
        <is>
          <t>State Victim Loss</t>
        </is>
      </c>
      <c r="I4" s="19" t="inlineStr">
        <is>
          <t>Even Loss per State Victim Count</t>
        </is>
      </c>
      <c r="J4" t="inlineStr">
        <is>
          <t>Projected In-City Victim Loss</t>
        </is>
      </c>
      <c r="K4" s="8" t="inlineStr">
        <is>
          <t>State Subject (Perpetrator) Count</t>
        </is>
      </c>
      <c r="L4" s="8" t="inlineStr">
        <is>
          <t>Subject (Perpetrator) to State Population</t>
        </is>
      </c>
      <c r="M4" s="8" t="inlineStr">
        <is>
          <t>Estimated Subject to City Population</t>
        </is>
      </c>
      <c r="N4" t="inlineStr">
        <is>
          <t>State Subject Losses (Perpetrator gained X dollars)</t>
        </is>
      </c>
      <c r="O4" s="8" t="inlineStr">
        <is>
          <t>Even Loss per State Subject</t>
        </is>
      </c>
      <c r="P4" s="8" t="inlineStr">
        <is>
          <t xml:space="preserve">Estimated In-City Subject Losses (Perpetrator Take from Victim) </t>
        </is>
      </c>
    </row>
    <row r="5">
      <c r="B5" t="inlineStr">
        <is>
          <t>https://www.census.gov/quickfacts/fact/table/TN/PST045222</t>
        </is>
      </c>
      <c r="C5" t="inlineStr">
        <is>
          <t>TN Population in 2016</t>
        </is>
      </c>
      <c r="D5" t="inlineStr">
        <is>
          <t>Population Estimate</t>
        </is>
      </c>
      <c r="E5" s="15" t="n">
        <v>6646010</v>
      </c>
      <c r="F5" t="inlineStr">
        <is>
          <t>Raw Value</t>
        </is>
      </c>
      <c r="G5" t="inlineStr">
        <is>
          <t>(Victim Count/State Population ) * City Population</t>
        </is>
      </c>
      <c r="J5" t="inlineStr">
        <is>
          <t>Estimated In-City Victims * Even Loss per State Victim</t>
        </is>
      </c>
      <c r="P5" t="inlineStr">
        <is>
          <t>Subject to City * Even Loss per State Subject</t>
        </is>
      </c>
    </row>
    <row r="6" customFormat="1" s="2">
      <c r="B6" t="inlineStr">
        <is>
          <t>https://www.census.gov/quickfacts/chattanoogacitytennessee</t>
        </is>
      </c>
      <c r="C6" t="inlineStr">
        <is>
          <t>Chattanooga Population in 2016</t>
        </is>
      </c>
      <c r="D6" t="inlineStr">
        <is>
          <t>Population Estimate</t>
        </is>
      </c>
      <c r="E6" s="13" t="n">
        <v>177746</v>
      </c>
      <c r="H6" s="18" t="n"/>
      <c r="I6" s="19" t="n"/>
      <c r="K6" s="8" t="n"/>
      <c r="L6" s="8" t="n"/>
      <c r="M6" s="8" t="n"/>
    </row>
    <row r="7" customFormat="1" s="2">
      <c r="B7" s="12" t="inlineStr">
        <is>
          <t>https://www.ic3.gov/Media/PDF/AnnualReport/2016State/StateReport.aspx#?s=47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>
        <v>276</v>
      </c>
      <c r="F7" s="3">
        <f>E7/E5</f>
        <v/>
      </c>
      <c r="G7">
        <f>ROUNDDOWN(F7*E6,0)</f>
        <v/>
      </c>
      <c r="H7" s="20" t="n">
        <v>1211869</v>
      </c>
      <c r="I7" s="19">
        <f>H7/E7</f>
        <v/>
      </c>
      <c r="J7" s="19">
        <f>I7*G7</f>
        <v/>
      </c>
      <c r="K7" s="8" t="n">
        <v>65</v>
      </c>
      <c r="L7" s="3">
        <f>K7/E5</f>
        <v/>
      </c>
      <c r="M7" s="8">
        <f>ROUNDDOWN(L7*E6,0)</f>
        <v/>
      </c>
      <c r="N7" s="20" t="n">
        <v>147059</v>
      </c>
      <c r="O7" s="21">
        <f>N7/K7</f>
        <v/>
      </c>
      <c r="P7" s="19">
        <f>M7*O7</f>
        <v/>
      </c>
    </row>
    <row r="8" customFormat="1" s="2">
      <c r="B8" s="12" t="inlineStr">
        <is>
          <t>https://www.ic3.gov/Media/PDF/AnnualReport/2016State/StateReport.aspx#?s=47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>
        <v>161</v>
      </c>
      <c r="F8" s="3">
        <f>E8/E5</f>
        <v/>
      </c>
      <c r="G8">
        <f>ROUNDDOWN(F8*E6,0)</f>
        <v/>
      </c>
      <c r="H8" s="20" t="n">
        <v>2781785</v>
      </c>
      <c r="I8" s="19">
        <f>H8/E8</f>
        <v/>
      </c>
      <c r="J8" s="19">
        <f>I8*G8</f>
        <v/>
      </c>
      <c r="K8" s="8" t="n">
        <v>43</v>
      </c>
      <c r="L8" s="3">
        <f>K8/E5</f>
        <v/>
      </c>
      <c r="M8" s="8">
        <f>ROUNDDOWN(L8*E6,0)</f>
        <v/>
      </c>
      <c r="N8" s="20" t="n">
        <v>546991</v>
      </c>
      <c r="O8" s="21">
        <f>N8/K8</f>
        <v/>
      </c>
      <c r="P8" s="19">
        <f>M8*O8</f>
        <v/>
      </c>
    </row>
    <row r="9" customFormat="1" s="2">
      <c r="B9" s="12" t="inlineStr">
        <is>
          <t>https://www.ic3.gov/Media/PDF/AnnualReport/2016State/StateReport.aspx#?s=47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n"/>
      <c r="F9" s="3">
        <f>E9/E5</f>
        <v/>
      </c>
      <c r="G9">
        <f>ROUNDDOWN(F9*E6,0)</f>
        <v/>
      </c>
      <c r="H9" s="20" t="n"/>
      <c r="I9" s="19">
        <f>H9/E9</f>
        <v/>
      </c>
      <c r="J9" s="19">
        <f>I9*G9</f>
        <v/>
      </c>
      <c r="K9" s="8" t="n"/>
      <c r="L9" s="3">
        <f>K9/E5</f>
        <v/>
      </c>
      <c r="M9" s="8">
        <f>ROUNDDOWN(L9*E6,0)</f>
        <v/>
      </c>
      <c r="N9" s="21" t="n"/>
      <c r="O9" s="21">
        <f>N9/K9</f>
        <v/>
      </c>
      <c r="P9" s="19">
        <f>M9*O9</f>
        <v/>
      </c>
    </row>
    <row r="10" customFormat="1" s="2">
      <c r="B10" s="12" t="inlineStr">
        <is>
          <t>https://www.ic3.gov/Media/PDF/AnnualReport/2016State/StateReport.aspx#?s=47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>
        <v>220</v>
      </c>
      <c r="F10" s="3">
        <f>E10/E5</f>
        <v/>
      </c>
      <c r="G10">
        <f>ROUNDDOWN(F10*E6,0)</f>
        <v/>
      </c>
      <c r="H10" s="20" t="n">
        <v>2251140</v>
      </c>
      <c r="I10" s="19">
        <f>H10/E10</f>
        <v/>
      </c>
      <c r="J10" s="19">
        <f>I10*G10</f>
        <v/>
      </c>
      <c r="K10" s="8" t="n">
        <v>74</v>
      </c>
      <c r="L10" s="3">
        <f>K10/E5</f>
        <v/>
      </c>
      <c r="M10" s="8">
        <f>ROUNDDOWN(L10*E6,0)</f>
        <v/>
      </c>
      <c r="N10" s="20" t="n">
        <v>955402</v>
      </c>
      <c r="O10" s="21">
        <f>N10/K10</f>
        <v/>
      </c>
      <c r="P10" s="19">
        <f>M10*O10</f>
        <v/>
      </c>
    </row>
    <row r="11" customFormat="1" s="2">
      <c r="B11" s="12" t="inlineStr">
        <is>
          <t>https://www.ic3.gov/Media/PDF/AnnualReport/2016State/StateReport.aspx#?s=47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n"/>
      <c r="F11" s="3">
        <f>E11/E5</f>
        <v/>
      </c>
      <c r="G11">
        <f>ROUNDDOWN(F11*E6,0)</f>
        <v/>
      </c>
      <c r="H11" s="22" t="n"/>
      <c r="I11" s="19">
        <f>H11/E11</f>
        <v/>
      </c>
      <c r="J11" s="19">
        <f>I11*G11</f>
        <v/>
      </c>
      <c r="K11" s="8" t="n"/>
      <c r="L11" s="3">
        <f>K11/E5</f>
        <v/>
      </c>
      <c r="M11" s="8">
        <f>ROUNDDOWN(L11*E6,0)</f>
        <v/>
      </c>
      <c r="N11" s="21" t="n"/>
      <c r="O11" s="21">
        <f>N11/K11</f>
        <v/>
      </c>
      <c r="P11" s="19">
        <f>M11*O11</f>
        <v/>
      </c>
    </row>
    <row r="12" customFormat="1" s="2">
      <c r="B12" s="12" t="inlineStr">
        <is>
          <t>https://www.ic3.gov/Media/PDF/AnnualReport/2016State/StateReport.aspx#?s=47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>
        <v>14</v>
      </c>
      <c r="F12" s="3">
        <f>E12/E5</f>
        <v/>
      </c>
      <c r="G12">
        <f>ROUNDDOWN(F12*E6,0)</f>
        <v/>
      </c>
      <c r="H12" s="20" t="n">
        <v>175</v>
      </c>
      <c r="I12" s="19">
        <f>H12/E12</f>
        <v/>
      </c>
      <c r="J12" s="19">
        <f>I12*G12</f>
        <v/>
      </c>
      <c r="K12" s="8" t="n">
        <v>5</v>
      </c>
      <c r="L12" s="3">
        <f>K12/E5</f>
        <v/>
      </c>
      <c r="M12" s="8">
        <f>ROUNDDOWN(L12*E6,0)</f>
        <v/>
      </c>
      <c r="N12" s="21" t="n">
        <v>0</v>
      </c>
      <c r="O12" s="21">
        <f>N12/K12</f>
        <v/>
      </c>
      <c r="P12" s="19">
        <f>M12*O12</f>
        <v/>
      </c>
    </row>
    <row r="13" customFormat="1" s="2">
      <c r="B13" s="12" t="inlineStr">
        <is>
          <t>https://www.ic3.gov/Media/PDF/AnnualReport/2016State/StateReport.aspx#?s=47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>
        <v>53</v>
      </c>
      <c r="F13" s="3">
        <f>E13/E5</f>
        <v/>
      </c>
      <c r="G13">
        <f>ROUNDDOWN(F13*E6,0)</f>
        <v/>
      </c>
      <c r="H13" s="20" t="n">
        <v>121715</v>
      </c>
      <c r="I13" s="19">
        <f>H13/E13</f>
        <v/>
      </c>
      <c r="J13" s="19">
        <f>I13*G13</f>
        <v/>
      </c>
      <c r="K13" s="8" t="n">
        <v>11</v>
      </c>
      <c r="L13" s="3">
        <f>K13/E5</f>
        <v/>
      </c>
      <c r="M13" s="8">
        <f>ROUNDDOWN(L13*E6,0)</f>
        <v/>
      </c>
      <c r="N13" s="22" t="n">
        <v>35450</v>
      </c>
      <c r="O13" s="9" t="n"/>
      <c r="P13" s="19">
        <f>M13*O13</f>
        <v/>
      </c>
    </row>
    <row r="14" customFormat="1" s="2">
      <c r="B14" s="12" t="inlineStr">
        <is>
          <t>https://www.ic3.gov/Media/PDF/AnnualReport/2016State/StateReport.aspx#?s=47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>
        <v>271</v>
      </c>
      <c r="F14" s="3">
        <f>E14/E5</f>
        <v/>
      </c>
      <c r="G14">
        <f>ROUNDDOWN(F14*E6,0)</f>
        <v/>
      </c>
      <c r="H14" s="20" t="n">
        <v>513855</v>
      </c>
      <c r="I14" s="19">
        <f>H14/E14</f>
        <v/>
      </c>
      <c r="J14" s="19">
        <f>I14*G14</f>
        <v/>
      </c>
      <c r="K14" s="8" t="n">
        <v>75</v>
      </c>
      <c r="L14" s="3">
        <f>K14/E5</f>
        <v/>
      </c>
      <c r="M14" s="8">
        <f>ROUNDDOWN(L14*E6,0)</f>
        <v/>
      </c>
      <c r="N14" s="20" t="n">
        <v>111690</v>
      </c>
      <c r="O14" s="21">
        <f>N14/K14</f>
        <v/>
      </c>
      <c r="P14" s="19">
        <f>M14*O14</f>
        <v/>
      </c>
    </row>
    <row r="15" customFormat="1" s="2">
      <c r="B15" s="12" t="inlineStr">
        <is>
          <t>https://www.ic3.gov/Media/PDF/AnnualReport/2016State/StateReport.aspx#?s=47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>
        <v>361</v>
      </c>
      <c r="F15" s="3">
        <f>E15/E5</f>
        <v/>
      </c>
      <c r="G15">
        <f>ROUNDDOWN(F15*E6,0)</f>
        <v/>
      </c>
      <c r="H15" s="20" t="n">
        <v>249043</v>
      </c>
      <c r="I15" s="19">
        <f>H15/E15</f>
        <v/>
      </c>
      <c r="J15" s="19">
        <f>I15*G15</f>
        <v/>
      </c>
      <c r="K15" s="8" t="n">
        <v>38</v>
      </c>
      <c r="L15" s="3">
        <f>K15/E5</f>
        <v/>
      </c>
      <c r="M15" s="8">
        <f>ROUNDDOWN(L15*E6,0)</f>
        <v/>
      </c>
      <c r="N15" s="20" t="n">
        <v>54046</v>
      </c>
      <c r="O15" s="21">
        <f>N15/K15</f>
        <v/>
      </c>
      <c r="P15" s="19">
        <f>M15*O15</f>
        <v/>
      </c>
    </row>
    <row r="16" customFormat="1" s="2">
      <c r="B16" s="12" t="inlineStr">
        <is>
          <t>https://www.ic3.gov/Media/PDF/AnnualReport/2016State/StateReport.aspx#?s=47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>
        <v>291</v>
      </c>
      <c r="F16" s="3">
        <f>E16/E5</f>
        <v/>
      </c>
      <c r="G16">
        <f>ROUNDDOWN(F16*E6,0)</f>
        <v/>
      </c>
      <c r="H16" s="22" t="n">
        <v>200649</v>
      </c>
      <c r="I16" s="9" t="n"/>
      <c r="J16" s="19">
        <f>I16*G16</f>
        <v/>
      </c>
      <c r="K16" s="8" t="n">
        <v>20</v>
      </c>
      <c r="L16" s="3">
        <f>K16/E5</f>
        <v/>
      </c>
      <c r="M16" s="8">
        <f>ROUNDDOWN(L16*E6,0)</f>
        <v/>
      </c>
      <c r="N16" s="20" t="n">
        <v>12891</v>
      </c>
      <c r="O16" s="21">
        <f>N16/K16</f>
        <v/>
      </c>
      <c r="P16" s="19">
        <f>M16*O16</f>
        <v/>
      </c>
    </row>
    <row r="17" customFormat="1" s="2">
      <c r="B17" s="12" t="inlineStr">
        <is>
          <t>https://www.ic3.gov/Media/PDF/AnnualReport/2016State/StateReport.aspx#?s=47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n"/>
      <c r="F17" s="3">
        <f>E17/E5</f>
        <v/>
      </c>
      <c r="G17">
        <f>ROUNDDOWN(F17*E6,0)</f>
        <v/>
      </c>
      <c r="H17" s="20" t="n"/>
      <c r="I17" s="19">
        <f>H17/E17</f>
        <v/>
      </c>
      <c r="J17" s="19">
        <f>I17*G17</f>
        <v/>
      </c>
      <c r="K17" s="8" t="n"/>
      <c r="L17" s="3">
        <f>K17/E5</f>
        <v/>
      </c>
      <c r="M17" s="8">
        <f>ROUNDDOWN(L17*E6,0)</f>
        <v/>
      </c>
      <c r="N17" s="23" t="n"/>
      <c r="O17" s="21">
        <f>N17/K17</f>
        <v/>
      </c>
      <c r="P17" s="19">
        <f>M17*O17</f>
        <v/>
      </c>
    </row>
    <row r="18" customFormat="1" s="2">
      <c r="B18" s="12" t="inlineStr">
        <is>
          <t>https://www.ic3.gov/Media/PDF/AnnualReport/2016State/StateReport.aspx#?s=47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>
        <v>44</v>
      </c>
      <c r="F18" s="3">
        <f>E18/E5</f>
        <v/>
      </c>
      <c r="G18">
        <f>ROUNDDOWN(F18*E6,0)</f>
        <v/>
      </c>
      <c r="H18" s="20" t="n">
        <v>31909</v>
      </c>
      <c r="I18" s="19">
        <f>H18/E18</f>
        <v/>
      </c>
      <c r="J18" s="19">
        <f>I18*G18</f>
        <v/>
      </c>
      <c r="K18" s="8" t="n">
        <v>13</v>
      </c>
      <c r="L18" s="3">
        <f>K18/E5</f>
        <v/>
      </c>
      <c r="M18" s="8">
        <f>ROUNDDOWN(L18*E6,0)</f>
        <v/>
      </c>
      <c r="N18" s="20" t="n">
        <v>6030</v>
      </c>
      <c r="O18" s="21">
        <f>N18/K18</f>
        <v/>
      </c>
      <c r="P18" s="19">
        <f>M18*O18</f>
        <v/>
      </c>
    </row>
    <row r="19" customFormat="1" s="2">
      <c r="B19" s="12" t="inlineStr">
        <is>
          <t>https://www.ic3.gov/Media/PDF/AnnualReport/2016State/StateReport.aspx#?s=47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>
        <v>281</v>
      </c>
      <c r="F19" s="3">
        <f>E19/E5</f>
        <v/>
      </c>
      <c r="G19">
        <f>ROUNDDOWN(F19*E6,0)</f>
        <v/>
      </c>
      <c r="H19" s="20" t="n">
        <v>564262</v>
      </c>
      <c r="I19" s="19">
        <f>H19/E19</f>
        <v/>
      </c>
      <c r="J19" s="19">
        <f>I19*G19</f>
        <v/>
      </c>
      <c r="K19" s="8" t="n">
        <v>77</v>
      </c>
      <c r="L19" s="3">
        <f>K19/E5</f>
        <v/>
      </c>
      <c r="M19" s="8">
        <f>ROUNDDOWN(L19*E6,0)</f>
        <v/>
      </c>
      <c r="N19" s="20" t="n">
        <v>248422</v>
      </c>
      <c r="O19" s="21">
        <f>N19/K19</f>
        <v/>
      </c>
      <c r="P19" s="19">
        <f>M19*O19</f>
        <v/>
      </c>
    </row>
    <row r="20" customFormat="1" s="2">
      <c r="B20" s="12" t="inlineStr">
        <is>
          <t>https://www.ic3.gov/Media/PDF/AnnualReport/2016State/StateReport.aspx#?s=47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>
        <v>15</v>
      </c>
      <c r="F20" s="3">
        <f>E20/E5</f>
        <v/>
      </c>
      <c r="G20">
        <f>ROUNDDOWN(F20*E6,0)</f>
        <v/>
      </c>
      <c r="H20" s="20" t="n">
        <v>604540</v>
      </c>
      <c r="I20" s="19">
        <f>H20/E20</f>
        <v/>
      </c>
      <c r="J20" s="19">
        <f>I20*G20</f>
        <v/>
      </c>
      <c r="K20" s="8" t="n">
        <v>10</v>
      </c>
      <c r="L20" s="3">
        <f>K20/E5</f>
        <v/>
      </c>
      <c r="M20" s="8">
        <f>ROUNDDOWN(L20*E6,0)</f>
        <v/>
      </c>
      <c r="N20" s="20" t="n">
        <v>377812</v>
      </c>
      <c r="O20" s="21">
        <f>N20/K20</f>
        <v/>
      </c>
      <c r="P20" s="19">
        <f>M20*O20</f>
        <v/>
      </c>
    </row>
    <row r="21" customFormat="1" s="2">
      <c r="B21" s="12" t="inlineStr">
        <is>
          <t>https://www.ic3.gov/Media/PDF/AnnualReport/2016State/StateReport.aspx#?s=47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>
        <v>102</v>
      </c>
      <c r="F21" s="3">
        <f>E21/E5</f>
        <v/>
      </c>
      <c r="G21">
        <f>ROUNDDOWN(F21*E6,0)</f>
        <v/>
      </c>
      <c r="H21" s="20" t="n">
        <v>780297</v>
      </c>
      <c r="I21" s="19">
        <f>H21/E21</f>
        <v/>
      </c>
      <c r="J21" s="19">
        <f>I21*G21</f>
        <v/>
      </c>
      <c r="K21" s="8" t="n">
        <v>17</v>
      </c>
      <c r="L21" s="3">
        <f>K21/E5</f>
        <v/>
      </c>
      <c r="M21" s="8">
        <f>ROUNDDOWN(L21*E6,0)</f>
        <v/>
      </c>
      <c r="N21" s="20" t="n">
        <v>87613</v>
      </c>
      <c r="O21" s="21">
        <f>N21/K21</f>
        <v/>
      </c>
      <c r="P21" s="19">
        <f>M21*O21</f>
        <v/>
      </c>
    </row>
    <row r="22" customFormat="1" s="2">
      <c r="B22" s="12" t="inlineStr">
        <is>
          <t>https://www.ic3.gov/Media/PDF/AnnualReport/2016State/StateReport.aspx#?s=47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>
        <v>60</v>
      </c>
      <c r="F22" s="3">
        <f>E22/E5</f>
        <v/>
      </c>
      <c r="G22">
        <f>ROUNDDOWN(F22*E6,0)</f>
        <v/>
      </c>
      <c r="H22" s="20">
        <f>8139+7793</f>
        <v/>
      </c>
      <c r="I22" s="19">
        <f>H22/E22</f>
        <v/>
      </c>
      <c r="J22" s="19">
        <f>I22*G22</f>
        <v/>
      </c>
      <c r="K22" s="8" t="n">
        <v>14</v>
      </c>
      <c r="L22" s="3">
        <f>K22/E5</f>
        <v/>
      </c>
      <c r="M22" s="8">
        <f>ROUNDDOWN(L22*E6,0)</f>
        <v/>
      </c>
      <c r="N22" s="21" t="n">
        <v>517</v>
      </c>
      <c r="O22" s="21">
        <f>N22/K22</f>
        <v/>
      </c>
      <c r="P22" s="19">
        <f>M22*O22</f>
        <v/>
      </c>
    </row>
    <row r="23" customFormat="1" s="2">
      <c r="B23" s="12" t="inlineStr">
        <is>
          <t>https://www.ic3.gov/Media/PDF/AnnualReport/2016State/StateReport.aspx#?s=47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n"/>
      <c r="F23" s="3">
        <f>E23/E5</f>
        <v/>
      </c>
      <c r="G23">
        <f>ROUNDDOWN(F23*E6,0)</f>
        <v/>
      </c>
      <c r="H23" s="20" t="n"/>
      <c r="I23" s="19">
        <f>H23/E23</f>
        <v/>
      </c>
      <c r="J23" s="19">
        <f>I23*G23</f>
        <v/>
      </c>
      <c r="K23" s="8" t="n"/>
      <c r="L23" s="3">
        <f>K23/E5</f>
        <v/>
      </c>
      <c r="M23" s="8">
        <f>ROUNDDOWN(L23*E6,0)</f>
        <v/>
      </c>
      <c r="N23" s="21" t="n"/>
      <c r="O23" s="21">
        <f>N23/K23</f>
        <v/>
      </c>
      <c r="P23" s="19">
        <f>M23*O23</f>
        <v/>
      </c>
    </row>
    <row r="24" customFormat="1" s="2">
      <c r="B24" s="12" t="inlineStr">
        <is>
          <t>https://www.ic3.gov/Media/PDF/AnnualReport/2016State/StateReport.aspx#?s=47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n"/>
      <c r="F24" s="3">
        <f>E24/E5</f>
        <v/>
      </c>
      <c r="G24">
        <f>ROUNDDOWN(F24*E6,0)</f>
        <v/>
      </c>
      <c r="H24" s="20" t="n"/>
      <c r="I24" s="19">
        <f>H24/E24</f>
        <v/>
      </c>
      <c r="J24" s="19">
        <f>I24*G24</f>
        <v/>
      </c>
      <c r="K24" s="8" t="n"/>
      <c r="L24" s="3">
        <f>K24/E5</f>
        <v/>
      </c>
      <c r="M24" s="8">
        <f>ROUNDDOWN(L24*E6,0)</f>
        <v/>
      </c>
      <c r="N24" s="21" t="n"/>
      <c r="O24" s="21">
        <f>N24/K24</f>
        <v/>
      </c>
      <c r="P24" s="19">
        <f>M24*O24</f>
        <v/>
      </c>
    </row>
    <row r="25" customFormat="1" s="2">
      <c r="B25" s="12" t="inlineStr">
        <is>
          <t>https://www.ic3.gov/Media/PDF/AnnualReport/2016State/StateReport.aspx#?s=47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>
        <v>146</v>
      </c>
      <c r="F25" s="3">
        <f>E25/E5</f>
        <v/>
      </c>
      <c r="G25">
        <f>ROUNDDOWN(F25*E6,0)</f>
        <v/>
      </c>
      <c r="H25" s="20" t="n">
        <v>0</v>
      </c>
      <c r="I25" s="19">
        <f>H25/E25</f>
        <v/>
      </c>
      <c r="J25" s="19">
        <f>I25*G25</f>
        <v/>
      </c>
      <c r="K25" s="8" t="n">
        <v>215</v>
      </c>
      <c r="L25" s="3">
        <f>K25/E5</f>
        <v/>
      </c>
      <c r="M25" s="8">
        <f>ROUNDDOWN(L25*E6,0)</f>
        <v/>
      </c>
      <c r="N25" s="21" t="n">
        <v>0</v>
      </c>
      <c r="O25" s="21">
        <f>N25/K25</f>
        <v/>
      </c>
      <c r="P25" s="19">
        <f>M25*O25</f>
        <v/>
      </c>
    </row>
    <row r="26" customFormat="1" s="2">
      <c r="B26" s="12" t="inlineStr">
        <is>
          <t>https://www.ic3.gov/Media/PDF/AnnualReport/2016State/StateReport.aspx#?s=47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>
        <v>1285</v>
      </c>
      <c r="F26" s="3">
        <f>E26/E5</f>
        <v/>
      </c>
      <c r="G26">
        <f>ROUNDDOWN(F26*E6,0)</f>
        <v/>
      </c>
      <c r="H26" s="20" t="n">
        <v>1996281</v>
      </c>
      <c r="I26" s="19">
        <f>H26/E26</f>
        <v/>
      </c>
      <c r="J26" s="19">
        <f>I26*G26</f>
        <v/>
      </c>
      <c r="K26" s="8" t="n">
        <v>495</v>
      </c>
      <c r="L26" s="3">
        <f>K26/E5</f>
        <v/>
      </c>
      <c r="M26" s="8">
        <f>ROUNDDOWN(L26*E6,0)</f>
        <v/>
      </c>
      <c r="N26" s="20" t="n">
        <v>1547162</v>
      </c>
      <c r="O26" s="21">
        <f>N26/K26</f>
        <v/>
      </c>
      <c r="P26" s="19">
        <f>M26*O26</f>
        <v/>
      </c>
    </row>
    <row r="27" customFormat="1" s="2">
      <c r="B27" s="12" t="inlineStr">
        <is>
          <t>https://www.ic3.gov/Media/PDF/AnnualReport/2016State/StateReport.aspx#?s=47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>
        <v>148</v>
      </c>
      <c r="F27" s="3">
        <f>E27/E5</f>
        <v/>
      </c>
      <c r="G27">
        <f>ROUNDDOWN(F27*E6,0)</f>
        <v/>
      </c>
      <c r="H27" s="20" t="n">
        <v>421656</v>
      </c>
      <c r="I27" s="19">
        <f>H27/E27</f>
        <v/>
      </c>
      <c r="J27" s="19">
        <f>I27*G27</f>
        <v/>
      </c>
      <c r="K27" s="8" t="n">
        <v>45</v>
      </c>
      <c r="L27" s="3">
        <f>K27/E5</f>
        <v/>
      </c>
      <c r="M27" s="8">
        <f>ROUNDDOWN(L27*E6,0)</f>
        <v/>
      </c>
      <c r="N27" s="20" t="n">
        <v>180005</v>
      </c>
      <c r="O27" s="21">
        <f>N27/K27</f>
        <v/>
      </c>
      <c r="P27" s="19">
        <f>M27*O27</f>
        <v/>
      </c>
    </row>
    <row r="28" customFormat="1" s="2">
      <c r="B28" s="12" t="inlineStr">
        <is>
          <t>https://www.ic3.gov/Media/PDF/AnnualReport/2016State/StateReport.aspx#?s=47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/>
      <c r="F28" s="3">
        <f>E28/E5</f>
        <v/>
      </c>
      <c r="G28">
        <f>ROUNDDOWN(F28*E6,0)</f>
        <v/>
      </c>
      <c r="H28" s="20" t="inlineStr">
        <is>
          <t>NO MATCH</t>
        </is>
      </c>
      <c r="I28" s="19">
        <f>H28/E28</f>
        <v/>
      </c>
      <c r="J28" s="19">
        <f>I28*G28</f>
        <v/>
      </c>
      <c r="K28" s="8" t="n"/>
      <c r="L28" s="3">
        <f>K28/E5</f>
        <v/>
      </c>
      <c r="M28" s="8">
        <f>ROUNDDOWN(L28*E6,0)</f>
        <v/>
      </c>
      <c r="N28" s="20" t="n"/>
      <c r="O28" s="21">
        <f>N28/K28</f>
        <v/>
      </c>
      <c r="P28" s="19">
        <f>M28*O28</f>
        <v/>
      </c>
    </row>
    <row r="29" customFormat="1" s="2">
      <c r="B29" s="12" t="inlineStr">
        <is>
          <t>https://www.ic3.gov/Media/PDF/AnnualReport/2016State/StateReport.aspx#?s=47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>
        <v>429</v>
      </c>
      <c r="F29" s="3">
        <f>E29/E5</f>
        <v/>
      </c>
      <c r="G29">
        <f>ROUNDDOWN(F29*E6,0)</f>
        <v/>
      </c>
      <c r="H29" s="20" t="n">
        <v>938982</v>
      </c>
      <c r="I29" s="19">
        <f>H29/E29</f>
        <v/>
      </c>
      <c r="J29" s="19">
        <f>I29*G29</f>
        <v/>
      </c>
      <c r="K29" s="8" t="n">
        <v>282</v>
      </c>
      <c r="L29" s="3">
        <f>K29/E5</f>
        <v/>
      </c>
      <c r="M29" s="8">
        <f>ROUNDDOWN(L29*E6,0)</f>
        <v/>
      </c>
      <c r="N29" s="20" t="n">
        <v>97512</v>
      </c>
      <c r="O29" s="21">
        <f>N29/K29</f>
        <v/>
      </c>
      <c r="P29" s="19">
        <f>M29*O29</f>
        <v/>
      </c>
    </row>
    <row r="30" customFormat="1" s="2">
      <c r="B30" s="12" t="inlineStr">
        <is>
          <t>https://www.ic3.gov/Media/PDF/AnnualReport/2016State/StateReport.aspx#?s=47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>
        <v>298</v>
      </c>
      <c r="F30" s="3">
        <f>E30/E5</f>
        <v/>
      </c>
      <c r="G30">
        <f>ROUNDDOWN(F30*E6,0)</f>
        <v/>
      </c>
      <c r="H30" s="20" t="n">
        <v>267275</v>
      </c>
      <c r="I30" s="19">
        <f>H30/E30</f>
        <v/>
      </c>
      <c r="J30" s="19">
        <f>I30*G30</f>
        <v/>
      </c>
      <c r="K30" s="8" t="n">
        <v>36</v>
      </c>
      <c r="L30" s="3">
        <f>K30/E5</f>
        <v/>
      </c>
      <c r="M30" s="8">
        <f>ROUNDDOWN(L30*E6,0)</f>
        <v/>
      </c>
      <c r="N30" s="20" t="n">
        <v>9790</v>
      </c>
      <c r="O30" s="21">
        <f>N30/K30</f>
        <v/>
      </c>
      <c r="P30" s="19">
        <f>M30*O30</f>
        <v/>
      </c>
    </row>
    <row r="31" customFormat="1" s="2">
      <c r="B31" s="12" t="inlineStr">
        <is>
          <t>https://www.ic3.gov/Media/PDF/AnnualReport/2016State/StateReport.aspx#?s=47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>
        <v>49</v>
      </c>
      <c r="F31" s="3">
        <f>E31/E5</f>
        <v/>
      </c>
      <c r="G31">
        <f>ROUNDDOWN(F31*E6,0)</f>
        <v/>
      </c>
      <c r="H31" s="20" t="n">
        <v>10106</v>
      </c>
      <c r="I31" s="19">
        <f>H31/E31</f>
        <v/>
      </c>
      <c r="J31" s="19">
        <f>I31*G31</f>
        <v/>
      </c>
      <c r="K31" s="8" t="n">
        <v>3</v>
      </c>
      <c r="L31" s="3">
        <f>K31/E5</f>
        <v/>
      </c>
      <c r="M31" s="8">
        <f>ROUNDDOWN(L31*E6,0)</f>
        <v/>
      </c>
      <c r="N31" s="21" t="n">
        <v>0</v>
      </c>
      <c r="O31" s="21">
        <f>N31/K31</f>
        <v/>
      </c>
      <c r="P31" s="19">
        <f>M31*O31</f>
        <v/>
      </c>
    </row>
    <row r="32" customFormat="1" s="2">
      <c r="B32" s="12" t="inlineStr">
        <is>
          <t>https://www.ic3.gov/Media/PDF/AnnualReport/2016State/StateReport.aspx#?s=47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>
        <v>165</v>
      </c>
      <c r="F32" s="3">
        <f>E32/E5</f>
        <v/>
      </c>
      <c r="G32">
        <f>ROUNDDOWN(F32*E6,0)</f>
        <v/>
      </c>
      <c r="H32" s="20" t="n">
        <v>528855</v>
      </c>
      <c r="I32" s="19">
        <f>H32/E32</f>
        <v/>
      </c>
      <c r="J32" s="19">
        <f>I32*G32</f>
        <v/>
      </c>
      <c r="K32" s="8" t="n">
        <v>78</v>
      </c>
      <c r="L32" s="3">
        <f>K32/E5</f>
        <v/>
      </c>
      <c r="M32" s="8">
        <f>ROUNDDOWN(L32*E6,0)</f>
        <v/>
      </c>
      <c r="N32" s="20" t="n">
        <v>459938</v>
      </c>
      <c r="O32" s="21">
        <f>N32/K32</f>
        <v/>
      </c>
      <c r="P32" s="19">
        <f>M32*O32</f>
        <v/>
      </c>
    </row>
    <row r="33" customFormat="1" s="2">
      <c r="B33" s="12" t="inlineStr">
        <is>
          <t>https://www.ic3.gov/Media/PDF/AnnualReport/2016State/StateReport.aspx#?s=47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n"/>
      <c r="F33" s="3">
        <f>E33/E5</f>
        <v/>
      </c>
      <c r="G33">
        <f>ROUNDDOWN(F33*E6,0)</f>
        <v/>
      </c>
      <c r="H33" s="20" t="inlineStr">
        <is>
          <t>NO MATCH</t>
        </is>
      </c>
      <c r="I33" s="19">
        <f>H33/E33</f>
        <v/>
      </c>
      <c r="J33" s="19">
        <f>I33*G33</f>
        <v/>
      </c>
      <c r="K33" s="8" t="n"/>
      <c r="L33" s="3">
        <f>K33/E5</f>
        <v/>
      </c>
      <c r="M33" s="8">
        <f>ROUNDDOWN(L33*E6,0)</f>
        <v/>
      </c>
      <c r="N33" s="20" t="n"/>
      <c r="O33" s="21">
        <f>N33/K33</f>
        <v/>
      </c>
      <c r="P33" s="19">
        <f>M33*O33</f>
        <v/>
      </c>
    </row>
    <row r="34" customFormat="1" s="2">
      <c r="B34" s="12" t="inlineStr">
        <is>
          <t>https://www.ic3.gov/Media/PDF/AnnualReport/2016State/StateReport.aspx#?s=47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/>
      <c r="F34" s="3">
        <f>E34/E5</f>
        <v/>
      </c>
      <c r="G34">
        <f>ROUNDDOWN(F34*E6,0)</f>
        <v/>
      </c>
      <c r="H34" s="20" t="inlineStr">
        <is>
          <t>NO MATCH</t>
        </is>
      </c>
      <c r="I34" s="19">
        <f>H34/E34</f>
        <v/>
      </c>
      <c r="J34" s="19">
        <f>I34*G34</f>
        <v/>
      </c>
      <c r="K34" s="8" t="n">
        <v>11</v>
      </c>
      <c r="L34" s="3">
        <f>K34/E5</f>
        <v/>
      </c>
      <c r="M34" s="8">
        <f>ROUNDDOWN(L34*E6,0)</f>
        <v/>
      </c>
      <c r="N34" s="20" t="n"/>
      <c r="O34" s="21">
        <f>N34/K34</f>
        <v/>
      </c>
      <c r="P34" s="19">
        <f>M34*O34</f>
        <v/>
      </c>
    </row>
    <row r="35" customFormat="1" s="2">
      <c r="B35" s="12" t="inlineStr">
        <is>
          <t>https://www.ic3.gov/Media/PDF/AnnualReport/2016State/StateReport.aspx#?s=47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>
        <v>185</v>
      </c>
      <c r="F35" s="3">
        <f>E35/E5</f>
        <v/>
      </c>
      <c r="G35">
        <f>ROUNDDOWN(F35*E6,0)</f>
        <v/>
      </c>
      <c r="H35" s="20" t="n">
        <v>131727</v>
      </c>
      <c r="I35" s="19">
        <f>H35/E35</f>
        <v/>
      </c>
      <c r="J35" s="19">
        <f>I35*G35</f>
        <v/>
      </c>
      <c r="K35" s="8" t="n"/>
      <c r="L35" s="3">
        <f>K35/E5</f>
        <v/>
      </c>
      <c r="M35" s="8">
        <f>ROUNDDOWN(L35*E6,0)</f>
        <v/>
      </c>
      <c r="N35" s="20" t="n">
        <v>2750</v>
      </c>
      <c r="O35" s="21">
        <f>N35/K35</f>
        <v/>
      </c>
      <c r="P35" s="19">
        <f>M35*O35</f>
        <v/>
      </c>
    </row>
    <row r="36" customFormat="1" s="2">
      <c r="B36" s="12" t="inlineStr">
        <is>
          <t>https://www.ic3.gov/Media/PDF/AnnualReport/2016State/StateReport.aspx#?s=47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>
        <v>276</v>
      </c>
      <c r="F36" s="3">
        <f>E36/E5</f>
        <v/>
      </c>
      <c r="G36">
        <f>ROUNDDOWN(F36*E6,0)</f>
        <v/>
      </c>
      <c r="H36" s="20" t="n">
        <v>227858</v>
      </c>
      <c r="I36" s="19">
        <f>H36/E36</f>
        <v/>
      </c>
      <c r="J36" s="19">
        <f>I36*G36</f>
        <v/>
      </c>
      <c r="K36" s="8" t="n">
        <v>283</v>
      </c>
      <c r="L36" s="3">
        <f>K36/E5</f>
        <v/>
      </c>
      <c r="M36" s="8">
        <f>ROUNDDOWN(L36*E6,0)</f>
        <v/>
      </c>
      <c r="N36" s="20" t="n">
        <v>57874</v>
      </c>
      <c r="O36" s="21">
        <f>N36/K36</f>
        <v/>
      </c>
      <c r="P36" s="19">
        <f>M36*O36</f>
        <v/>
      </c>
    </row>
    <row r="37">
      <c r="J37" s="19">
        <f>I37*G37</f>
        <v/>
      </c>
      <c r="L37" s="3" t="n"/>
      <c r="M37" s="3" t="n"/>
      <c r="N37" s="21" t="n"/>
      <c r="O37" s="21" t="n"/>
    </row>
    <row r="38">
      <c r="E38" s="1">
        <f>SUM(E7:E36)</f>
        <v/>
      </c>
      <c r="G38">
        <f>SUM(G8:G36)</f>
        <v/>
      </c>
      <c r="I38" s="19">
        <f>H38/E38</f>
        <v/>
      </c>
      <c r="J38" s="19">
        <f>I38*G38</f>
        <v/>
      </c>
      <c r="L38" s="3" t="n"/>
      <c r="M38" s="3" t="n"/>
      <c r="N38" s="21" t="n"/>
      <c r="O38" s="21" t="n"/>
    </row>
    <row r="39">
      <c r="C39" t="inlineStr">
        <is>
          <t>Malware + Virus</t>
        </is>
      </c>
    </row>
    <row r="40">
      <c r="C40" t="inlineStr">
        <is>
          <t>Harassment, Stalking, Threats of Violence and Terrorism all combined</t>
        </is>
      </c>
    </row>
  </sheetData>
  <hyperlinks>
    <hyperlink xmlns:r="http://schemas.openxmlformats.org/officeDocument/2006/relationships" ref="B7" location="?s=47" r:id="rId1"/>
    <hyperlink xmlns:r="http://schemas.openxmlformats.org/officeDocument/2006/relationships" ref="B8" location="?s=47" display="https://www.ic3.gov/Media/PDF/AnnualReport/2016State/StateReport.aspx#?s=47" r:id="rId2"/>
    <hyperlink xmlns:r="http://schemas.openxmlformats.org/officeDocument/2006/relationships" ref="B9" location="?s=47" display="https://www.ic3.gov/Media/PDF/AnnualReport/2016State/StateReport.aspx#?s=47" r:id="rId3"/>
    <hyperlink xmlns:r="http://schemas.openxmlformats.org/officeDocument/2006/relationships" ref="B10" location="?s=47" display="https://www.ic3.gov/Media/PDF/AnnualReport/2016State/StateReport.aspx#?s=47" r:id="rId4"/>
    <hyperlink xmlns:r="http://schemas.openxmlformats.org/officeDocument/2006/relationships" ref="B11" location="?s=47" display="https://www.ic3.gov/Media/PDF/AnnualReport/2016State/StateReport.aspx#?s=47" r:id="rId5"/>
    <hyperlink xmlns:r="http://schemas.openxmlformats.org/officeDocument/2006/relationships" ref="B12" location="?s=47" display="https://www.ic3.gov/Media/PDF/AnnualReport/2016State/StateReport.aspx#?s=47" r:id="rId6"/>
    <hyperlink xmlns:r="http://schemas.openxmlformats.org/officeDocument/2006/relationships" ref="B13" location="?s=47" display="https://www.ic3.gov/Media/PDF/AnnualReport/2016State/StateReport.aspx#?s=47" r:id="rId7"/>
    <hyperlink xmlns:r="http://schemas.openxmlformats.org/officeDocument/2006/relationships" ref="B14" location="?s=47" display="https://www.ic3.gov/Media/PDF/AnnualReport/2016State/StateReport.aspx#?s=47" r:id="rId8"/>
    <hyperlink xmlns:r="http://schemas.openxmlformats.org/officeDocument/2006/relationships" ref="B15" location="?s=47" display="https://www.ic3.gov/Media/PDF/AnnualReport/2016State/StateReport.aspx#?s=47" r:id="rId9"/>
    <hyperlink xmlns:r="http://schemas.openxmlformats.org/officeDocument/2006/relationships" ref="B16" location="?s=47" display="https://www.ic3.gov/Media/PDF/AnnualReport/2016State/StateReport.aspx#?s=47" r:id="rId10"/>
    <hyperlink xmlns:r="http://schemas.openxmlformats.org/officeDocument/2006/relationships" ref="B17" location="?s=47" display="https://www.ic3.gov/Media/PDF/AnnualReport/2016State/StateReport.aspx#?s=47" r:id="rId11"/>
    <hyperlink xmlns:r="http://schemas.openxmlformats.org/officeDocument/2006/relationships" ref="B18" location="?s=47" display="https://www.ic3.gov/Media/PDF/AnnualReport/2016State/StateReport.aspx#?s=47" r:id="rId12"/>
    <hyperlink xmlns:r="http://schemas.openxmlformats.org/officeDocument/2006/relationships" ref="B19" location="?s=47" display="https://www.ic3.gov/Media/PDF/AnnualReport/2016State/StateReport.aspx#?s=47" r:id="rId13"/>
    <hyperlink xmlns:r="http://schemas.openxmlformats.org/officeDocument/2006/relationships" ref="B20" location="?s=47" display="https://www.ic3.gov/Media/PDF/AnnualReport/2016State/StateReport.aspx#?s=47" r:id="rId14"/>
    <hyperlink xmlns:r="http://schemas.openxmlformats.org/officeDocument/2006/relationships" ref="B21" location="?s=47" display="https://www.ic3.gov/Media/PDF/AnnualReport/2016State/StateReport.aspx#?s=47" r:id="rId15"/>
    <hyperlink xmlns:r="http://schemas.openxmlformats.org/officeDocument/2006/relationships" ref="B22" location="?s=47" display="https://www.ic3.gov/Media/PDF/AnnualReport/2016State/StateReport.aspx#?s=47" r:id="rId16"/>
    <hyperlink xmlns:r="http://schemas.openxmlformats.org/officeDocument/2006/relationships" ref="B23" location="?s=47" display="https://www.ic3.gov/Media/PDF/AnnualReport/2016State/StateReport.aspx#?s=47" r:id="rId17"/>
    <hyperlink xmlns:r="http://schemas.openxmlformats.org/officeDocument/2006/relationships" ref="B24" location="?s=47" display="https://www.ic3.gov/Media/PDF/AnnualReport/2016State/StateReport.aspx#?s=47" r:id="rId18"/>
    <hyperlink xmlns:r="http://schemas.openxmlformats.org/officeDocument/2006/relationships" ref="B25" location="?s=47" display="https://www.ic3.gov/Media/PDF/AnnualReport/2016State/StateReport.aspx#?s=47" r:id="rId19"/>
    <hyperlink xmlns:r="http://schemas.openxmlformats.org/officeDocument/2006/relationships" ref="B26" location="?s=47" display="https://www.ic3.gov/Media/PDF/AnnualReport/2016State/StateReport.aspx#?s=47" r:id="rId20"/>
    <hyperlink xmlns:r="http://schemas.openxmlformats.org/officeDocument/2006/relationships" ref="B27" location="?s=47" display="https://www.ic3.gov/Media/PDF/AnnualReport/2016State/StateReport.aspx#?s=47" r:id="rId21"/>
    <hyperlink xmlns:r="http://schemas.openxmlformats.org/officeDocument/2006/relationships" ref="B28" location="?s=47" display="https://www.ic3.gov/Media/PDF/AnnualReport/2016State/StateReport.aspx#?s=47" r:id="rId22"/>
    <hyperlink xmlns:r="http://schemas.openxmlformats.org/officeDocument/2006/relationships" ref="B29" location="?s=47" display="https://www.ic3.gov/Media/PDF/AnnualReport/2016State/StateReport.aspx#?s=47" r:id="rId23"/>
    <hyperlink xmlns:r="http://schemas.openxmlformats.org/officeDocument/2006/relationships" ref="B30" location="?s=47" display="https://www.ic3.gov/Media/PDF/AnnualReport/2016State/StateReport.aspx#?s=47" r:id="rId24"/>
    <hyperlink xmlns:r="http://schemas.openxmlformats.org/officeDocument/2006/relationships" ref="B31" location="?s=47" display="https://www.ic3.gov/Media/PDF/AnnualReport/2016State/StateReport.aspx#?s=47" r:id="rId25"/>
    <hyperlink xmlns:r="http://schemas.openxmlformats.org/officeDocument/2006/relationships" ref="B32" location="?s=47" display="https://www.ic3.gov/Media/PDF/AnnualReport/2016State/StateReport.aspx#?s=47" r:id="rId26"/>
    <hyperlink xmlns:r="http://schemas.openxmlformats.org/officeDocument/2006/relationships" ref="B33" location="?s=47" display="https://www.ic3.gov/Media/PDF/AnnualReport/2016State/StateReport.aspx#?s=47" r:id="rId27"/>
    <hyperlink xmlns:r="http://schemas.openxmlformats.org/officeDocument/2006/relationships" ref="B34" location="?s=47" display="https://www.ic3.gov/Media/PDF/AnnualReport/2016State/StateReport.aspx#?s=47" r:id="rId28"/>
    <hyperlink xmlns:r="http://schemas.openxmlformats.org/officeDocument/2006/relationships" ref="B35" location="?s=47" display="https://www.ic3.gov/Media/PDF/AnnualReport/2016State/StateReport.aspx#?s=47" r:id="rId29"/>
    <hyperlink xmlns:r="http://schemas.openxmlformats.org/officeDocument/2006/relationships" ref="B36" location="?s=47" display="https://www.ic3.gov/Media/PDF/AnnualReport/2016State/StateReport.aspx#?s=47" r:id="rId30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P41"/>
  <sheetViews>
    <sheetView topLeftCell="B7" workbookViewId="0">
      <selection activeCell="F29" sqref="F29"/>
    </sheetView>
  </sheetViews>
  <sheetFormatPr baseColWidth="8" defaultRowHeight="14.4"/>
  <cols>
    <col width="70.109375" customWidth="1" min="2" max="2"/>
    <col width="27.5546875" bestFit="1" customWidth="1" min="3" max="3"/>
    <col width="17.6640625" customWidth="1" min="4" max="4"/>
    <col width="8.88671875" customWidth="1" min="5" max="5"/>
    <col width="24.6640625" customWidth="1" min="6" max="6"/>
    <col width="48.88671875" customWidth="1" min="7" max="7"/>
    <col width="41.88671875" customWidth="1" style="18" min="8" max="8"/>
    <col width="44" customWidth="1" style="19" min="9" max="9"/>
    <col width="56.21875" customWidth="1" min="10" max="10"/>
    <col width="34.21875" customWidth="1" style="8" min="11" max="13"/>
    <col width="44.6640625" customWidth="1" min="14" max="15"/>
    <col width="37.77734375" bestFit="1" customWidth="1" min="16" max="16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s="18" t="inlineStr">
        <is>
          <t>State Victim Loss</t>
        </is>
      </c>
      <c r="I4" s="19" t="inlineStr">
        <is>
          <t>Even Loss per State Victim Count</t>
        </is>
      </c>
      <c r="J4" t="inlineStr">
        <is>
          <t>Projected In-City Victim Loss</t>
        </is>
      </c>
      <c r="K4" s="8" t="inlineStr">
        <is>
          <t>State Subject (Perpetrator) Count</t>
        </is>
      </c>
      <c r="L4" s="8" t="inlineStr">
        <is>
          <t>Subject (Perpetrator) to State Population</t>
        </is>
      </c>
      <c r="M4" s="8" t="inlineStr">
        <is>
          <t>Estimated Subject to City Population</t>
        </is>
      </c>
      <c r="N4" t="inlineStr">
        <is>
          <t>State Subject Losses (Perpetrator gained X dollars)</t>
        </is>
      </c>
      <c r="O4" s="8" t="inlineStr">
        <is>
          <t>Even Loss per State Subject</t>
        </is>
      </c>
      <c r="P4" s="8" t="inlineStr">
        <is>
          <t xml:space="preserve">Estimated In-City Subject Losses (Perpetrator Take from Victim) </t>
        </is>
      </c>
    </row>
    <row r="5">
      <c r="B5" t="inlineStr">
        <is>
          <t>https://www.census.gov/quickfacts/fact/table/TN/PST045222</t>
        </is>
      </c>
      <c r="C5" t="inlineStr">
        <is>
          <t>TN Population in 2017</t>
        </is>
      </c>
      <c r="D5" t="inlineStr">
        <is>
          <t>Population Estimate</t>
        </is>
      </c>
      <c r="E5" s="15" t="n">
        <v>6708799</v>
      </c>
      <c r="F5" t="inlineStr">
        <is>
          <t>Raw Value</t>
        </is>
      </c>
      <c r="G5" t="inlineStr">
        <is>
          <t>(Victim Count/State Population ) * City Population</t>
        </is>
      </c>
      <c r="J5" t="inlineStr">
        <is>
          <t>Estimated In-City Victims * Even Loss per State Victim</t>
        </is>
      </c>
      <c r="P5" t="inlineStr">
        <is>
          <t>Subject to City * Even Loss per State Subject</t>
        </is>
      </c>
    </row>
    <row r="6" customFormat="1" s="2">
      <c r="B6" t="inlineStr">
        <is>
          <t>https://www.census.gov/quickfacts/chattanoogacitytennessee</t>
        </is>
      </c>
      <c r="C6" t="inlineStr">
        <is>
          <t>Chattanooga Population in 2017</t>
        </is>
      </c>
      <c r="D6" t="inlineStr">
        <is>
          <t>Population Estimate</t>
        </is>
      </c>
      <c r="E6" s="13" t="n">
        <v>179530</v>
      </c>
      <c r="H6" s="18" t="n"/>
      <c r="I6" s="19" t="n"/>
      <c r="K6" s="8" t="n"/>
      <c r="L6" s="8" t="n"/>
      <c r="M6" s="8" t="n"/>
    </row>
    <row r="7" customFormat="1" s="2">
      <c r="B7" s="12" t="inlineStr">
        <is>
          <t>https://www.ic3.gov/Media/PDF/AnnualReport/2017State/StateReport.aspx#?s=47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>
        <v>264</v>
      </c>
      <c r="F7" s="3">
        <f>E7/E5</f>
        <v/>
      </c>
      <c r="G7">
        <f>ROUNDDOWN(F7*E6,0)</f>
        <v/>
      </c>
      <c r="H7" s="20" t="n">
        <v>591748</v>
      </c>
      <c r="I7" s="19">
        <f>H7/E7</f>
        <v/>
      </c>
      <c r="J7" s="19">
        <f>I7*G7</f>
        <v/>
      </c>
      <c r="K7" s="8" t="n">
        <v>70</v>
      </c>
      <c r="L7" s="3">
        <f>K7/E5</f>
        <v/>
      </c>
      <c r="M7" s="8">
        <f>ROUNDDOWN(L7*E6,0)</f>
        <v/>
      </c>
      <c r="N7" s="20" t="n">
        <v>222720</v>
      </c>
      <c r="O7" s="21">
        <f>N7/K7</f>
        <v/>
      </c>
      <c r="P7" s="19">
        <f>M7*O7</f>
        <v/>
      </c>
    </row>
    <row r="8" customFormat="1" s="2">
      <c r="B8" s="12" t="inlineStr">
        <is>
          <t>https://www.ic3.gov/Media/PDF/AnnualReport/2017State/StateReport.aspx#?s=47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>
        <v>184</v>
      </c>
      <c r="F8" s="3">
        <f>E8/E5</f>
        <v/>
      </c>
      <c r="G8">
        <f>ROUNDDOWN(F8*E6,0)</f>
        <v/>
      </c>
      <c r="H8" s="20" t="n">
        <v>4251983</v>
      </c>
      <c r="I8" s="19">
        <f>H8/E8</f>
        <v/>
      </c>
      <c r="J8" s="19">
        <f>I8*G8</f>
        <v/>
      </c>
      <c r="K8" s="8" t="n">
        <v>44</v>
      </c>
      <c r="L8" s="3">
        <f>K8/E5</f>
        <v/>
      </c>
      <c r="M8" s="8">
        <f>ROUNDDOWN(L8*E6,0)</f>
        <v/>
      </c>
      <c r="N8" s="20" t="n">
        <v>577018</v>
      </c>
      <c r="O8" s="21">
        <f>N8/K8</f>
        <v/>
      </c>
      <c r="P8" s="19">
        <f>M8*O8</f>
        <v/>
      </c>
    </row>
    <row r="9" customFormat="1" s="2">
      <c r="B9" s="12" t="inlineStr">
        <is>
          <t>https://www.ic3.gov/Media/PDF/AnnualReport/2017State/StateReport.aspx#?s=47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n"/>
      <c r="F9" s="3">
        <f>E9/E5</f>
        <v/>
      </c>
      <c r="G9">
        <f>ROUNDDOWN(F9*E6,0)</f>
        <v/>
      </c>
      <c r="H9" s="20" t="n"/>
      <c r="I9" s="19">
        <f>H9/E9</f>
        <v/>
      </c>
      <c r="J9" s="19">
        <f>I9*G9</f>
        <v/>
      </c>
      <c r="K9" s="8" t="n"/>
      <c r="L9" s="3">
        <f>K9/E5</f>
        <v/>
      </c>
      <c r="M9" s="8">
        <f>ROUNDDOWN(L9*E6,0)</f>
        <v/>
      </c>
      <c r="N9" s="21" t="n"/>
      <c r="O9" s="21">
        <f>N9/K9</f>
        <v/>
      </c>
      <c r="P9" s="19">
        <f>M9*O9</f>
        <v/>
      </c>
    </row>
    <row r="10" customFormat="1" s="2">
      <c r="B10" s="12" t="inlineStr">
        <is>
          <t>https://www.ic3.gov/Media/PDF/AnnualReport/2017State/StateReport.aspx#?s=47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>
        <v>260</v>
      </c>
      <c r="F10" s="3">
        <f>E10/E5</f>
        <v/>
      </c>
      <c r="G10">
        <f>ROUNDDOWN(F10*E6,0)</f>
        <v/>
      </c>
      <c r="H10" s="20" t="n">
        <v>2450680</v>
      </c>
      <c r="I10" s="19">
        <f>H10/E10</f>
        <v/>
      </c>
      <c r="J10" s="19">
        <f>I10*G10</f>
        <v/>
      </c>
      <c r="K10" s="8" t="n">
        <v>88</v>
      </c>
      <c r="L10" s="3">
        <f>K10/E5</f>
        <v/>
      </c>
      <c r="M10" s="8">
        <f>ROUNDDOWN(L10*E6,0)</f>
        <v/>
      </c>
      <c r="N10" s="20" t="n">
        <v>682875</v>
      </c>
      <c r="O10" s="21">
        <f>N10/K10</f>
        <v/>
      </c>
      <c r="P10" s="19">
        <f>M10*O10</f>
        <v/>
      </c>
    </row>
    <row r="11" customFormat="1" s="2">
      <c r="B11" s="12" t="inlineStr">
        <is>
          <t>https://www.ic3.gov/Media/PDF/AnnualReport/2017State/StateReport.aspx#?s=47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n"/>
      <c r="F11" s="3">
        <f>E11/E5</f>
        <v/>
      </c>
      <c r="G11">
        <f>ROUNDDOWN(F11*E6,0)</f>
        <v/>
      </c>
      <c r="H11" s="22" t="n"/>
      <c r="I11" s="19">
        <f>H11/E11</f>
        <v/>
      </c>
      <c r="J11" s="19">
        <f>I11*G11</f>
        <v/>
      </c>
      <c r="K11" s="8" t="n"/>
      <c r="L11" s="3">
        <f>K11/E5</f>
        <v/>
      </c>
      <c r="M11" s="8">
        <f>ROUNDDOWN(L11*E6,0)</f>
        <v/>
      </c>
      <c r="N11" s="21" t="n"/>
      <c r="O11" s="21">
        <f>N11/K11</f>
        <v/>
      </c>
      <c r="P11" s="19">
        <f>M11*O11</f>
        <v/>
      </c>
    </row>
    <row r="12" customFormat="1" s="2">
      <c r="B12" s="12" t="inlineStr">
        <is>
          <t>https://www.ic3.gov/Media/PDF/AnnualReport/2017State/StateReport.aspx#?s=47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>
        <v>19</v>
      </c>
      <c r="F12" s="3">
        <f>E12/E5</f>
        <v/>
      </c>
      <c r="G12">
        <f>ROUNDDOWN(F12*E6,0)</f>
        <v/>
      </c>
      <c r="H12" s="18" t="n">
        <v>0</v>
      </c>
      <c r="I12" s="19">
        <f>H12/E12</f>
        <v/>
      </c>
      <c r="J12" s="19">
        <f>I12*G12</f>
        <v/>
      </c>
      <c r="K12" s="8" t="n">
        <v>3</v>
      </c>
      <c r="L12" s="3">
        <f>K12/E5</f>
        <v/>
      </c>
      <c r="M12" s="8">
        <f>ROUNDDOWN(L12*E6,0)</f>
        <v/>
      </c>
      <c r="N12" s="21" t="n">
        <v>0</v>
      </c>
      <c r="O12" s="21">
        <f>N12/K12</f>
        <v/>
      </c>
      <c r="P12" s="19">
        <f>M12*O12</f>
        <v/>
      </c>
    </row>
    <row r="13" customFormat="1" s="2">
      <c r="B13" s="12" t="inlineStr">
        <is>
          <t>https://www.ic3.gov/Media/PDF/AnnualReport/2017State/StateReport.aspx#?s=47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>
        <v>53</v>
      </c>
      <c r="F13" s="3">
        <f>E13/E5</f>
        <v/>
      </c>
      <c r="G13">
        <f>ROUNDDOWN(F13*E6,0)</f>
        <v/>
      </c>
      <c r="H13" s="22" t="n">
        <v>967932</v>
      </c>
      <c r="I13" s="24">
        <f>H13/E13</f>
        <v/>
      </c>
      <c r="J13" s="19">
        <f>I13*G13</f>
        <v/>
      </c>
      <c r="K13" s="8" t="n">
        <v>6</v>
      </c>
      <c r="L13" s="3">
        <f>K13/E5</f>
        <v/>
      </c>
      <c r="M13" s="8">
        <f>ROUNDDOWN(L13*E6,0)</f>
        <v/>
      </c>
      <c r="N13" s="21" t="n">
        <v>0</v>
      </c>
      <c r="O13" s="21">
        <f>N13/K13</f>
        <v/>
      </c>
      <c r="P13" s="19">
        <f>M13*O13</f>
        <v/>
      </c>
    </row>
    <row r="14" customFormat="1" s="2">
      <c r="B14" s="12" t="inlineStr">
        <is>
          <t>https://www.ic3.gov/Media/PDF/AnnualReport/2017State/StateReport.aspx#?s=47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>
        <v>257</v>
      </c>
      <c r="F14" s="3">
        <f>E14/E5</f>
        <v/>
      </c>
      <c r="G14">
        <f>ROUNDDOWN(F14*E6,0)</f>
        <v/>
      </c>
      <c r="H14" s="20" t="n">
        <v>346353</v>
      </c>
      <c r="I14" s="19">
        <f>H14/E14</f>
        <v/>
      </c>
      <c r="J14" s="19">
        <f>I14*G14</f>
        <v/>
      </c>
      <c r="K14" s="8" t="n">
        <v>76</v>
      </c>
      <c r="L14" s="3">
        <f>K14/E5</f>
        <v/>
      </c>
      <c r="M14" s="8">
        <f>ROUNDDOWN(L14*E6,0)</f>
        <v/>
      </c>
      <c r="N14" s="20" t="n">
        <v>49381</v>
      </c>
      <c r="O14" s="21">
        <f>N14/K14</f>
        <v/>
      </c>
      <c r="P14" s="19">
        <f>M14*O14</f>
        <v/>
      </c>
    </row>
    <row r="15" customFormat="1" s="2">
      <c r="B15" s="12" t="inlineStr">
        <is>
          <t>https://www.ic3.gov/Media/PDF/AnnualReport/2017State/StateReport.aspx#?s=47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>
        <v>290</v>
      </c>
      <c r="F15" s="3">
        <f>E15/E5</f>
        <v/>
      </c>
      <c r="G15">
        <f>ROUNDDOWN(F15*E6,0)</f>
        <v/>
      </c>
      <c r="H15" s="20" t="n">
        <v>171336</v>
      </c>
      <c r="I15" s="19">
        <f>H15/E15</f>
        <v/>
      </c>
      <c r="J15" s="19">
        <f>I15*G15</f>
        <v/>
      </c>
      <c r="K15" s="8" t="n">
        <v>32</v>
      </c>
      <c r="L15" s="3">
        <f>K15/E5</f>
        <v/>
      </c>
      <c r="M15" s="8">
        <f>ROUNDDOWN(L15*E6,0)</f>
        <v/>
      </c>
      <c r="N15" s="20" t="n">
        <v>10895</v>
      </c>
      <c r="O15" s="21">
        <f>N15/K15</f>
        <v/>
      </c>
      <c r="P15" s="19">
        <f>M15*O15</f>
        <v/>
      </c>
    </row>
    <row r="16" customFormat="1" s="2">
      <c r="B16" s="12" t="inlineStr">
        <is>
          <t>https://www.ic3.gov/Media/PDF/AnnualReport/2017State/StateReport.aspx#?s=47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>
        <v>174</v>
      </c>
      <c r="F16" s="3">
        <f>E16/E5</f>
        <v/>
      </c>
      <c r="G16">
        <f>ROUNDDOWN(F16*E6,0)</f>
        <v/>
      </c>
      <c r="H16" s="20" t="n">
        <v>118043</v>
      </c>
      <c r="I16" s="19">
        <f>H16/E16</f>
        <v/>
      </c>
      <c r="J16" s="19">
        <f>I16*G16</f>
        <v/>
      </c>
      <c r="K16" s="8" t="n">
        <v>11</v>
      </c>
      <c r="L16" s="3">
        <f>K16/E5</f>
        <v/>
      </c>
      <c r="M16" s="8">
        <f>ROUNDDOWN(L16*E6,0)</f>
        <v/>
      </c>
      <c r="N16" s="20" t="n">
        <v>17516</v>
      </c>
      <c r="O16" s="21">
        <f>N16/K16</f>
        <v/>
      </c>
      <c r="P16" s="19">
        <f>M16*O16</f>
        <v/>
      </c>
    </row>
    <row r="17" customFormat="1" s="2">
      <c r="B17" s="12" t="inlineStr">
        <is>
          <t>https://www.ic3.gov/Media/PDF/AnnualReport/2017State/StateReport.aspx#?s=47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n"/>
      <c r="F17" s="3">
        <f>E17/E5</f>
        <v/>
      </c>
      <c r="G17">
        <f>ROUNDDOWN(F17*E6,0)</f>
        <v/>
      </c>
      <c r="H17" s="20" t="n"/>
      <c r="I17" s="19">
        <f>H17/E17</f>
        <v/>
      </c>
      <c r="J17" s="19">
        <f>I17*G17</f>
        <v/>
      </c>
      <c r="K17" s="8" t="n"/>
      <c r="L17" s="3">
        <f>K17/E5</f>
        <v/>
      </c>
      <c r="M17" s="8">
        <f>ROUNDDOWN(L17*E6,0)</f>
        <v/>
      </c>
      <c r="N17" s="23" t="n"/>
      <c r="O17" s="21">
        <f>N17/K17</f>
        <v/>
      </c>
      <c r="P17" s="19">
        <f>M17*O17</f>
        <v/>
      </c>
    </row>
    <row r="18" customFormat="1" s="2">
      <c r="B18" s="12" t="inlineStr">
        <is>
          <t>https://www.ic3.gov/Media/PDF/AnnualReport/2017State/StateReport.aspx#?s=47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>
        <v>38</v>
      </c>
      <c r="F18" s="3">
        <f>E18/E5</f>
        <v/>
      </c>
      <c r="G18">
        <f>ROUNDDOWN(F18*E6,0)</f>
        <v/>
      </c>
      <c r="H18" s="20" t="n">
        <v>34455</v>
      </c>
      <c r="I18" s="19">
        <f>H18/E18</f>
        <v/>
      </c>
      <c r="J18" s="19">
        <f>I18*G18</f>
        <v/>
      </c>
      <c r="K18" s="8" t="n">
        <v>12</v>
      </c>
      <c r="L18" s="3">
        <f>K18/E5</f>
        <v/>
      </c>
      <c r="M18" s="8">
        <f>ROUNDDOWN(L18*E6,0)</f>
        <v/>
      </c>
      <c r="N18" s="20" t="n">
        <v>8398</v>
      </c>
      <c r="O18" s="21">
        <f>N18/K18</f>
        <v/>
      </c>
      <c r="P18" s="19">
        <f>M18*O18</f>
        <v/>
      </c>
    </row>
    <row r="19" customFormat="1" s="2">
      <c r="B19" s="12" t="inlineStr">
        <is>
          <t>https://www.ic3.gov/Media/PDF/AnnualReport/2017State/StateReport.aspx#?s=47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>
        <v>332</v>
      </c>
      <c r="F19" s="3">
        <f>E19/E5</f>
        <v/>
      </c>
      <c r="G19">
        <f>ROUNDDOWN(F19*E6,0)</f>
        <v/>
      </c>
      <c r="H19" s="20" t="n">
        <v>1241184</v>
      </c>
      <c r="I19" s="19">
        <f>H19/E19</f>
        <v/>
      </c>
      <c r="J19" s="19">
        <f>I19*G19</f>
        <v/>
      </c>
      <c r="K19" s="8" t="n">
        <v>98</v>
      </c>
      <c r="L19" s="3">
        <f>K19/E5</f>
        <v/>
      </c>
      <c r="M19" s="8">
        <f>ROUNDDOWN(L19*E6,0)</f>
        <v/>
      </c>
      <c r="N19" s="20" t="n">
        <v>677427</v>
      </c>
      <c r="O19" s="21">
        <f>N19/K19</f>
        <v/>
      </c>
      <c r="P19" s="19">
        <f>M19*O19</f>
        <v/>
      </c>
    </row>
    <row r="20" customFormat="1" s="2">
      <c r="B20" s="12" t="inlineStr">
        <is>
          <t>https://www.ic3.gov/Media/PDF/AnnualReport/2017State/StateReport.aspx#?s=47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>
        <v>34</v>
      </c>
      <c r="F20" s="3">
        <f>E20/E5</f>
        <v/>
      </c>
      <c r="G20">
        <f>ROUNDDOWN(F20*E6,0)</f>
        <v/>
      </c>
      <c r="H20" s="20" t="n">
        <v>260468</v>
      </c>
      <c r="I20" s="19">
        <f>H20/E20</f>
        <v/>
      </c>
      <c r="J20" s="19">
        <f>I20*G20</f>
        <v/>
      </c>
      <c r="K20" s="8" t="n">
        <v>16</v>
      </c>
      <c r="L20" s="3">
        <f>K20/E5</f>
        <v/>
      </c>
      <c r="M20" s="8">
        <f>ROUNDDOWN(L20*E6,0)</f>
        <v/>
      </c>
      <c r="N20" s="20" t="n">
        <v>143560</v>
      </c>
      <c r="O20" s="21">
        <f>N20/K20</f>
        <v/>
      </c>
      <c r="P20" s="19">
        <f>M20*O20</f>
        <v/>
      </c>
    </row>
    <row r="21" customFormat="1" s="2">
      <c r="B21" s="12" t="inlineStr">
        <is>
          <t>https://www.ic3.gov/Media/PDF/AnnualReport/2017State/StateReport.aspx#?s=47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>
        <v>77</v>
      </c>
      <c r="F21" s="3">
        <f>E21/E5</f>
        <v/>
      </c>
      <c r="G21">
        <f>ROUNDDOWN(F21*E6,0)</f>
        <v/>
      </c>
      <c r="H21" s="20" t="n">
        <v>121151</v>
      </c>
      <c r="I21" s="19">
        <f>H21/E21</f>
        <v/>
      </c>
      <c r="J21" s="19">
        <f>I21*G21</f>
        <v/>
      </c>
      <c r="K21" s="8" t="n">
        <v>21</v>
      </c>
      <c r="L21" s="3">
        <f>K21/E5</f>
        <v/>
      </c>
      <c r="M21" s="8">
        <f>ROUNDDOWN(L21*E6,0)</f>
        <v/>
      </c>
      <c r="N21" s="20" t="n">
        <v>83881</v>
      </c>
      <c r="O21" s="21">
        <f>N21/K21</f>
        <v/>
      </c>
      <c r="P21" s="19">
        <f>M21*O21</f>
        <v/>
      </c>
    </row>
    <row r="22" customFormat="1" s="2">
      <c r="B22" s="12" t="inlineStr">
        <is>
          <t>https://www.ic3.gov/Media/PDF/AnnualReport/2017State/StateReport.aspx#?s=47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>
        <v>43</v>
      </c>
      <c r="F22" s="3">
        <f>E22/E5</f>
        <v/>
      </c>
      <c r="G22">
        <f>ROUNDDOWN(F22*E6,0)</f>
        <v/>
      </c>
      <c r="H22" s="20" t="n">
        <v>13325</v>
      </c>
      <c r="I22" s="19">
        <f>H22/E22</f>
        <v/>
      </c>
      <c r="J22" s="19">
        <f>I22*G22</f>
        <v/>
      </c>
      <c r="K22" s="8" t="n">
        <v>5</v>
      </c>
      <c r="L22" s="3">
        <f>K22/E5</f>
        <v/>
      </c>
      <c r="M22" s="8">
        <f>ROUNDDOWN(L22*E6,0)</f>
        <v/>
      </c>
      <c r="N22" s="20" t="n">
        <v>1033</v>
      </c>
      <c r="O22" s="21">
        <f>N22/K22</f>
        <v/>
      </c>
      <c r="P22" s="19">
        <f>M22*O22</f>
        <v/>
      </c>
    </row>
    <row r="23" customFormat="1" s="2">
      <c r="B23" s="12" t="inlineStr">
        <is>
          <t>https://www.ic3.gov/Media/PDF/AnnualReport/2017State/StateReport.aspx#?s=47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n"/>
      <c r="F23" s="3">
        <f>E23/E5</f>
        <v/>
      </c>
      <c r="G23">
        <f>ROUNDDOWN(F23*E6,0)</f>
        <v/>
      </c>
      <c r="H23" s="20" t="n"/>
      <c r="I23" s="19">
        <f>H23/E23</f>
        <v/>
      </c>
      <c r="J23" s="19">
        <f>I23*G23</f>
        <v/>
      </c>
      <c r="K23" s="8" t="n"/>
      <c r="L23" s="3">
        <f>K23/E5</f>
        <v/>
      </c>
      <c r="M23" s="8">
        <f>ROUNDDOWN(L23*E6,0)</f>
        <v/>
      </c>
      <c r="N23" s="21" t="n"/>
      <c r="O23" s="21">
        <f>N23/K23</f>
        <v/>
      </c>
      <c r="P23" s="19">
        <f>M23*O23</f>
        <v/>
      </c>
    </row>
    <row r="24" customFormat="1" s="2">
      <c r="B24" s="12" t="inlineStr">
        <is>
          <t>https://www.ic3.gov/Media/PDF/AnnualReport/2017State/StateReport.aspx#?s=47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n"/>
      <c r="F24" s="3">
        <f>E24/E5</f>
        <v/>
      </c>
      <c r="G24">
        <f>ROUNDDOWN(F24*E6,0)</f>
        <v/>
      </c>
      <c r="H24" s="20" t="n"/>
      <c r="I24" s="19">
        <f>H24/E24</f>
        <v/>
      </c>
      <c r="J24" s="19">
        <f>I24*G24</f>
        <v/>
      </c>
      <c r="K24" s="8" t="n"/>
      <c r="L24" s="3">
        <f>K24/E5</f>
        <v/>
      </c>
      <c r="M24" s="8">
        <f>ROUNDDOWN(L24*E6,0)</f>
        <v/>
      </c>
      <c r="N24" s="21" t="n"/>
      <c r="O24" s="21">
        <f>N24/K24</f>
        <v/>
      </c>
      <c r="P24" s="19">
        <f>M24*O24</f>
        <v/>
      </c>
    </row>
    <row r="25" customFormat="1" s="2">
      <c r="B25" s="12" t="inlineStr">
        <is>
          <t>https://www.ic3.gov/Media/PDF/AnnualReport/2017State/StateReport.aspx#?s=47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>
        <v>155</v>
      </c>
      <c r="F25" s="3">
        <f>E25/E5</f>
        <v/>
      </c>
      <c r="G25">
        <f>ROUNDDOWN(F25*E6,0)</f>
        <v/>
      </c>
      <c r="H25" s="20" t="n">
        <v>0</v>
      </c>
      <c r="I25" s="19">
        <f>H25/E25</f>
        <v/>
      </c>
      <c r="J25" s="19">
        <f>I25*G25</f>
        <v/>
      </c>
      <c r="K25" s="8" t="n">
        <v>157</v>
      </c>
      <c r="L25" s="3">
        <f>K25/E5</f>
        <v/>
      </c>
      <c r="M25" s="8">
        <f>ROUNDDOWN(L25*E6,0)</f>
        <v/>
      </c>
      <c r="N25" s="21" t="n">
        <v>0</v>
      </c>
      <c r="O25" s="21">
        <f>N25/K25</f>
        <v/>
      </c>
      <c r="P25" s="19">
        <f>M25*O25</f>
        <v/>
      </c>
    </row>
    <row r="26" customFormat="1" s="2">
      <c r="B26" s="12" t="inlineStr">
        <is>
          <t>https://www.ic3.gov/Media/PDF/AnnualReport/2017State/StateReport.aspx#?s=47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>
        <v>1547</v>
      </c>
      <c r="F26" s="3">
        <f>E26/E5</f>
        <v/>
      </c>
      <c r="G26">
        <f>ROUNDDOWN(F26*E6,0)</f>
        <v/>
      </c>
      <c r="H26" s="20" t="n">
        <v>2217462</v>
      </c>
      <c r="I26" s="19">
        <f>H26/E26</f>
        <v/>
      </c>
      <c r="J26" s="19">
        <f>I26*G26</f>
        <v/>
      </c>
      <c r="K26" s="8" t="n">
        <v>480</v>
      </c>
      <c r="L26" s="3">
        <f>K26/E5</f>
        <v/>
      </c>
      <c r="M26" s="8">
        <f>ROUNDDOWN(L26*E6,0)</f>
        <v/>
      </c>
      <c r="N26" s="20" t="n">
        <v>906871</v>
      </c>
      <c r="O26" s="21">
        <f>N26/K26</f>
        <v/>
      </c>
      <c r="P26" s="19">
        <f>M26*O26</f>
        <v/>
      </c>
    </row>
    <row r="27" customFormat="1" s="2">
      <c r="B27" s="12" t="inlineStr">
        <is>
          <t>https://www.ic3.gov/Media/PDF/AnnualReport/2017State/StateReport.aspx#?s=47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>
        <v>207</v>
      </c>
      <c r="F27" s="3">
        <f>E27/E5</f>
        <v/>
      </c>
      <c r="G27">
        <f>ROUNDDOWN(F27*E6,0)</f>
        <v/>
      </c>
      <c r="H27" s="20" t="n">
        <v>297647</v>
      </c>
      <c r="I27" s="19">
        <f>H27/E27</f>
        <v/>
      </c>
      <c r="J27" s="19">
        <f>I27*G27</f>
        <v/>
      </c>
      <c r="K27" s="8" t="n">
        <v>68</v>
      </c>
      <c r="L27" s="3">
        <f>K27/E5</f>
        <v/>
      </c>
      <c r="M27" s="8">
        <f>ROUNDDOWN(L27*E6,0)</f>
        <v/>
      </c>
      <c r="N27" s="20" t="n">
        <v>6964</v>
      </c>
      <c r="O27" s="21">
        <f>N27/K27</f>
        <v/>
      </c>
      <c r="P27" s="19">
        <f>M27*O27</f>
        <v/>
      </c>
    </row>
    <row r="28" customFormat="1" s="2">
      <c r="B28" s="12" t="inlineStr">
        <is>
          <t>https://www.ic3.gov/Media/PDF/AnnualReport/2017State/StateReport.aspx#?s=47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>
        <v>321</v>
      </c>
      <c r="F28" s="3">
        <f>E28/E5</f>
        <v/>
      </c>
      <c r="G28">
        <f>ROUNDDOWN(F28*E6,0)</f>
        <v/>
      </c>
      <c r="H28" s="20" t="n">
        <v>702742</v>
      </c>
      <c r="I28" s="19">
        <f>H28/E28</f>
        <v/>
      </c>
      <c r="J28" s="19">
        <f>I28*G28</f>
        <v/>
      </c>
      <c r="K28" s="8" t="n">
        <v>86</v>
      </c>
      <c r="L28" s="3">
        <f>K28/E5</f>
        <v/>
      </c>
      <c r="M28" s="8">
        <f>ROUNDDOWN(L28*E6,0)</f>
        <v/>
      </c>
      <c r="N28" s="20" t="n">
        <v>92394</v>
      </c>
      <c r="O28" s="21">
        <f>N28/K28</f>
        <v/>
      </c>
      <c r="P28" s="19">
        <f>M28*O28</f>
        <v/>
      </c>
    </row>
    <row r="29" customFormat="1" s="2">
      <c r="B29" s="12" t="inlineStr">
        <is>
          <t>https://www.ic3.gov/Media/PDF/AnnualReport/2017State/StateReport.aspx#?s=47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>
        <v>490</v>
      </c>
      <c r="F29" s="3">
        <f>E29/E5</f>
        <v/>
      </c>
      <c r="G29">
        <f>ROUNDDOWN(F29*E6,0)</f>
        <v/>
      </c>
      <c r="H29" s="20" t="n">
        <v>461249</v>
      </c>
      <c r="I29" s="19">
        <f>H29/E29</f>
        <v/>
      </c>
      <c r="J29" s="19">
        <f>I29*G29</f>
        <v/>
      </c>
      <c r="K29" s="8" t="n">
        <v>132</v>
      </c>
      <c r="L29" s="3">
        <f>K29/E5</f>
        <v/>
      </c>
      <c r="M29" s="8">
        <f>ROUNDDOWN(L29*E6,0)</f>
        <v/>
      </c>
      <c r="N29" s="20" t="n">
        <v>180877</v>
      </c>
      <c r="O29" s="21">
        <f>N29/K29</f>
        <v/>
      </c>
      <c r="P29" s="19">
        <f>M29*O29</f>
        <v/>
      </c>
    </row>
    <row r="30" customFormat="1" s="2">
      <c r="B30" s="12" t="inlineStr">
        <is>
          <t>https://www.ic3.gov/Media/PDF/AnnualReport/2017State/StateReport.aspx#?s=47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>
        <v>347</v>
      </c>
      <c r="F30" s="3">
        <f>E30/E5</f>
        <v/>
      </c>
      <c r="G30">
        <f>ROUNDDOWN(F30*E6,0)</f>
        <v/>
      </c>
      <c r="H30" s="20" t="n">
        <v>133594</v>
      </c>
      <c r="I30" s="19">
        <f>H30/E30</f>
        <v/>
      </c>
      <c r="J30" s="19">
        <f>I30*G30</f>
        <v/>
      </c>
      <c r="K30" s="8" t="n">
        <v>57</v>
      </c>
      <c r="L30" s="3">
        <f>K30/E5</f>
        <v/>
      </c>
      <c r="M30" s="8">
        <f>ROUNDDOWN(L30*E6,0)</f>
        <v/>
      </c>
      <c r="N30" s="20" t="n">
        <v>18601</v>
      </c>
      <c r="O30" s="21">
        <f>N30/K30</f>
        <v/>
      </c>
      <c r="P30" s="19">
        <f>M30*O30</f>
        <v/>
      </c>
    </row>
    <row r="31" customFormat="1" s="2">
      <c r="B31" s="12" t="inlineStr">
        <is>
          <t>https://www.ic3.gov/Media/PDF/AnnualReport/2017State/StateReport.aspx#?s=47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>
        <v>33</v>
      </c>
      <c r="F31" s="3">
        <f>E31/E5</f>
        <v/>
      </c>
      <c r="G31">
        <f>ROUNDDOWN(F31*E6,0)</f>
        <v/>
      </c>
      <c r="H31" s="20" t="n">
        <v>95411</v>
      </c>
      <c r="I31" s="19">
        <f>H31/E31</f>
        <v/>
      </c>
      <c r="J31" s="19">
        <f>I31*G31</f>
        <v/>
      </c>
      <c r="K31" s="8" t="n">
        <v>2</v>
      </c>
      <c r="L31" s="3">
        <f>K31/E5</f>
        <v/>
      </c>
      <c r="M31" s="8">
        <f>ROUNDDOWN(L31*E6,0)</f>
        <v/>
      </c>
      <c r="N31" s="20" t="n">
        <v>50000</v>
      </c>
      <c r="O31" s="21">
        <f>N31/K31</f>
        <v/>
      </c>
      <c r="P31" s="19">
        <f>M31*O31</f>
        <v/>
      </c>
    </row>
    <row r="32" customFormat="1" s="2">
      <c r="B32" s="12" t="inlineStr">
        <is>
          <t>https://www.ic3.gov/Media/PDF/AnnualReport/2017State/StateReport.aspx#?s=47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>
        <v>148</v>
      </c>
      <c r="F32" s="3">
        <f>E32/E5</f>
        <v/>
      </c>
      <c r="G32">
        <f>ROUNDDOWN(F32*E6,0)</f>
        <v/>
      </c>
      <c r="H32" s="20" t="n">
        <v>262428</v>
      </c>
      <c r="I32" s="19">
        <f>H32/E32</f>
        <v/>
      </c>
      <c r="J32" s="19">
        <f>I32*G32</f>
        <v/>
      </c>
      <c r="K32" s="8" t="n">
        <v>78</v>
      </c>
      <c r="L32" s="3">
        <f>K32/E5</f>
        <v/>
      </c>
      <c r="M32" s="8">
        <f>ROUNDDOWN(L32*E6,0)</f>
        <v/>
      </c>
      <c r="N32" s="20" t="n">
        <v>454840</v>
      </c>
      <c r="O32" s="21">
        <f>N32/K32</f>
        <v/>
      </c>
      <c r="P32" s="19">
        <f>M32*O32</f>
        <v/>
      </c>
    </row>
    <row r="33" customFormat="1" s="2">
      <c r="B33" s="12" t="inlineStr">
        <is>
          <t>https://www.ic3.gov/Media/PDF/AnnualReport/2017State/StateReport.aspx#?s=47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n"/>
      <c r="F33" s="3">
        <f>E33/E5</f>
        <v/>
      </c>
      <c r="G33">
        <f>ROUNDDOWN(F33*E6,0)</f>
        <v/>
      </c>
      <c r="H33" s="20" t="n"/>
      <c r="I33" s="19">
        <f>H33/E33</f>
        <v/>
      </c>
      <c r="J33" s="19">
        <f>I33*G33</f>
        <v/>
      </c>
      <c r="K33" s="8" t="n"/>
      <c r="L33" s="3">
        <f>K33/E5</f>
        <v/>
      </c>
      <c r="M33" s="8">
        <f>ROUNDDOWN(L33*E6,0)</f>
        <v/>
      </c>
      <c r="N33" s="20" t="n"/>
      <c r="O33" s="21">
        <f>N33/K33</f>
        <v/>
      </c>
      <c r="P33" s="19">
        <f>M33*O33</f>
        <v/>
      </c>
    </row>
    <row r="34" customFormat="1" s="2">
      <c r="B34" s="12" t="inlineStr">
        <is>
          <t>https://www.ic3.gov/Media/PDF/AnnualReport/2017State/StateReport.aspx#?s=47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>
        <v>0</v>
      </c>
      <c r="F34" s="3">
        <f>E34/E5</f>
        <v/>
      </c>
      <c r="G34">
        <f>ROUNDDOWN(F34*E6,0)</f>
        <v/>
      </c>
      <c r="H34" s="20" t="n">
        <v>0</v>
      </c>
      <c r="I34" s="19">
        <f>H34/E34</f>
        <v/>
      </c>
      <c r="J34" s="19">
        <f>I34*G34</f>
        <v/>
      </c>
      <c r="K34" s="8" t="n">
        <v>0</v>
      </c>
      <c r="L34" s="3">
        <f>K34/E5</f>
        <v/>
      </c>
      <c r="M34" s="8">
        <f>ROUNDDOWN(L34*E6,0)</f>
        <v/>
      </c>
      <c r="N34" s="20" t="n">
        <v>0</v>
      </c>
      <c r="O34" s="21">
        <f>N34/K34</f>
        <v/>
      </c>
      <c r="P34" s="19">
        <f>M34*O34</f>
        <v/>
      </c>
    </row>
    <row r="35" customFormat="1" s="2">
      <c r="B35" s="12" t="inlineStr">
        <is>
          <t>https://www.ic3.gov/Media/PDF/AnnualReport/2017State/StateReport.aspx#?s=47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>
        <v>190</v>
      </c>
      <c r="F35" s="3">
        <f>E35/E5</f>
        <v/>
      </c>
      <c r="G35">
        <f>ROUNDDOWN(F35*E6,0)</f>
        <v/>
      </c>
      <c r="H35" s="20" t="n">
        <v>168911</v>
      </c>
      <c r="I35" s="19">
        <f>H35/E35</f>
        <v/>
      </c>
      <c r="J35" s="19">
        <f>I35*G35</f>
        <v/>
      </c>
      <c r="K35" s="8" t="n">
        <v>14</v>
      </c>
      <c r="L35" s="3">
        <f>K35/E5</f>
        <v/>
      </c>
      <c r="M35" s="8">
        <f>ROUNDDOWN(L35*E6,0)</f>
        <v/>
      </c>
      <c r="N35" s="20" t="n">
        <v>8331</v>
      </c>
      <c r="O35" s="21">
        <f>N35/K35</f>
        <v/>
      </c>
      <c r="P35" s="19">
        <f>M35*O35</f>
        <v/>
      </c>
    </row>
    <row r="36" customFormat="1" s="2">
      <c r="B36" s="12" t="inlineStr">
        <is>
          <t>https://www.ic3.gov/Media/PDF/AnnualReport/2017State/StateReport.aspx#?s=47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>
        <v>230</v>
      </c>
      <c r="F36" s="3">
        <f>E36/E5</f>
        <v/>
      </c>
      <c r="G36">
        <f>ROUNDDOWN(F36*E6,0)</f>
        <v/>
      </c>
      <c r="H36" s="20" t="n">
        <v>96901</v>
      </c>
      <c r="I36" s="19">
        <f>H36/E36</f>
        <v/>
      </c>
      <c r="J36" s="19">
        <f>I36*G36</f>
        <v/>
      </c>
      <c r="K36" s="8" t="n">
        <v>112</v>
      </c>
      <c r="L36" s="3">
        <f>K36/E5</f>
        <v/>
      </c>
      <c r="M36" s="8">
        <f>ROUNDDOWN(L36*E6,0)</f>
        <v/>
      </c>
      <c r="N36" s="20" t="n">
        <v>98776</v>
      </c>
      <c r="O36" s="21">
        <f>N36/K36</f>
        <v/>
      </c>
      <c r="P36" s="19">
        <f>M36*O36</f>
        <v/>
      </c>
    </row>
    <row r="37">
      <c r="J37" s="19">
        <f>I37*G37</f>
        <v/>
      </c>
      <c r="L37" s="3" t="n"/>
      <c r="M37" s="3" t="n"/>
      <c r="N37" s="21" t="n"/>
      <c r="O37" s="21" t="n"/>
    </row>
    <row r="38">
      <c r="E38" s="1">
        <f>SUM(E7:E36)</f>
        <v/>
      </c>
      <c r="G38">
        <f>SUM(G8:G36)</f>
        <v/>
      </c>
      <c r="I38" s="19">
        <f>H38/E38</f>
        <v/>
      </c>
      <c r="J38" s="19">
        <f>I38*G38</f>
        <v/>
      </c>
      <c r="L38" s="3" t="n"/>
      <c r="M38" s="3" t="n"/>
      <c r="N38" s="21" t="n"/>
      <c r="O38" s="21" t="n"/>
    </row>
    <row r="40">
      <c r="C40" t="inlineStr">
        <is>
          <t>Harassment, Stalking, Threats of Violence and Terrorism all combined</t>
        </is>
      </c>
    </row>
    <row r="41">
      <c r="C41" t="inlineStr">
        <is>
          <t>Had 2 Terrorism this year</t>
        </is>
      </c>
    </row>
  </sheetData>
  <hyperlinks>
    <hyperlink xmlns:r="http://schemas.openxmlformats.org/officeDocument/2006/relationships" ref="B7" location="?s=47" r:id="rId1"/>
    <hyperlink xmlns:r="http://schemas.openxmlformats.org/officeDocument/2006/relationships" ref="B8" location="?s=47" display="https://www.ic3.gov/Media/PDF/AnnualReport/2017State/StateReport.aspx#?s=47" r:id="rId2"/>
    <hyperlink xmlns:r="http://schemas.openxmlformats.org/officeDocument/2006/relationships" ref="B9" location="?s=47" display="https://www.ic3.gov/Media/PDF/AnnualReport/2017State/StateReport.aspx#?s=47" r:id="rId3"/>
    <hyperlink xmlns:r="http://schemas.openxmlformats.org/officeDocument/2006/relationships" ref="B10" location="?s=47" display="https://www.ic3.gov/Media/PDF/AnnualReport/2017State/StateReport.aspx#?s=47" r:id="rId4"/>
    <hyperlink xmlns:r="http://schemas.openxmlformats.org/officeDocument/2006/relationships" ref="B11" location="?s=47" display="https://www.ic3.gov/Media/PDF/AnnualReport/2017State/StateReport.aspx#?s=47" r:id="rId5"/>
    <hyperlink xmlns:r="http://schemas.openxmlformats.org/officeDocument/2006/relationships" ref="B12" location="?s=47" display="https://www.ic3.gov/Media/PDF/AnnualReport/2017State/StateReport.aspx#?s=47" r:id="rId6"/>
    <hyperlink xmlns:r="http://schemas.openxmlformats.org/officeDocument/2006/relationships" ref="B13" location="?s=47" display="https://www.ic3.gov/Media/PDF/AnnualReport/2017State/StateReport.aspx#?s=47" r:id="rId7"/>
    <hyperlink xmlns:r="http://schemas.openxmlformats.org/officeDocument/2006/relationships" ref="B14" location="?s=47" display="https://www.ic3.gov/Media/PDF/AnnualReport/2017State/StateReport.aspx#?s=47" r:id="rId8"/>
    <hyperlink xmlns:r="http://schemas.openxmlformats.org/officeDocument/2006/relationships" ref="B15" location="?s=47" display="https://www.ic3.gov/Media/PDF/AnnualReport/2017State/StateReport.aspx#?s=47" r:id="rId9"/>
    <hyperlink xmlns:r="http://schemas.openxmlformats.org/officeDocument/2006/relationships" ref="B16" location="?s=47" display="https://www.ic3.gov/Media/PDF/AnnualReport/2017State/StateReport.aspx#?s=47" r:id="rId10"/>
    <hyperlink xmlns:r="http://schemas.openxmlformats.org/officeDocument/2006/relationships" ref="B17" location="?s=47" display="https://www.ic3.gov/Media/PDF/AnnualReport/2017State/StateReport.aspx#?s=47" r:id="rId11"/>
    <hyperlink xmlns:r="http://schemas.openxmlformats.org/officeDocument/2006/relationships" ref="B18" location="?s=47" display="https://www.ic3.gov/Media/PDF/AnnualReport/2017State/StateReport.aspx#?s=47" r:id="rId12"/>
    <hyperlink xmlns:r="http://schemas.openxmlformats.org/officeDocument/2006/relationships" ref="B19" location="?s=47" display="https://www.ic3.gov/Media/PDF/AnnualReport/2017State/StateReport.aspx#?s=47" r:id="rId13"/>
    <hyperlink xmlns:r="http://schemas.openxmlformats.org/officeDocument/2006/relationships" ref="B20" location="?s=47" display="https://www.ic3.gov/Media/PDF/AnnualReport/2017State/StateReport.aspx#?s=47" r:id="rId14"/>
    <hyperlink xmlns:r="http://schemas.openxmlformats.org/officeDocument/2006/relationships" ref="B21" location="?s=47" display="https://www.ic3.gov/Media/PDF/AnnualReport/2017State/StateReport.aspx#?s=47" r:id="rId15"/>
    <hyperlink xmlns:r="http://schemas.openxmlformats.org/officeDocument/2006/relationships" ref="B22" location="?s=47" display="https://www.ic3.gov/Media/PDF/AnnualReport/2017State/StateReport.aspx#?s=47" r:id="rId16"/>
    <hyperlink xmlns:r="http://schemas.openxmlformats.org/officeDocument/2006/relationships" ref="B23" location="?s=47" display="https://www.ic3.gov/Media/PDF/AnnualReport/2017State/StateReport.aspx#?s=47" r:id="rId17"/>
    <hyperlink xmlns:r="http://schemas.openxmlformats.org/officeDocument/2006/relationships" ref="B24" location="?s=47" display="https://www.ic3.gov/Media/PDF/AnnualReport/2017State/StateReport.aspx#?s=47" r:id="rId18"/>
    <hyperlink xmlns:r="http://schemas.openxmlformats.org/officeDocument/2006/relationships" ref="B25" location="?s=47" display="https://www.ic3.gov/Media/PDF/AnnualReport/2017State/StateReport.aspx#?s=47" r:id="rId19"/>
    <hyperlink xmlns:r="http://schemas.openxmlformats.org/officeDocument/2006/relationships" ref="B26" location="?s=47" display="https://www.ic3.gov/Media/PDF/AnnualReport/2017State/StateReport.aspx#?s=47" r:id="rId20"/>
    <hyperlink xmlns:r="http://schemas.openxmlformats.org/officeDocument/2006/relationships" ref="B27" location="?s=47" display="https://www.ic3.gov/Media/PDF/AnnualReport/2017State/StateReport.aspx#?s=47" r:id="rId21"/>
    <hyperlink xmlns:r="http://schemas.openxmlformats.org/officeDocument/2006/relationships" ref="B28" location="?s=47" display="https://www.ic3.gov/Media/PDF/AnnualReport/2017State/StateReport.aspx#?s=47" r:id="rId22"/>
    <hyperlink xmlns:r="http://schemas.openxmlformats.org/officeDocument/2006/relationships" ref="B29" location="?s=47" display="https://www.ic3.gov/Media/PDF/AnnualReport/2017State/StateReport.aspx#?s=47" r:id="rId23"/>
    <hyperlink xmlns:r="http://schemas.openxmlformats.org/officeDocument/2006/relationships" ref="B30" location="?s=47" display="https://www.ic3.gov/Media/PDF/AnnualReport/2017State/StateReport.aspx#?s=47" r:id="rId24"/>
    <hyperlink xmlns:r="http://schemas.openxmlformats.org/officeDocument/2006/relationships" ref="B31" location="?s=47" display="https://www.ic3.gov/Media/PDF/AnnualReport/2017State/StateReport.aspx#?s=47" r:id="rId25"/>
    <hyperlink xmlns:r="http://schemas.openxmlformats.org/officeDocument/2006/relationships" ref="B32" location="?s=47" display="https://www.ic3.gov/Media/PDF/AnnualReport/2017State/StateReport.aspx#?s=47" r:id="rId26"/>
    <hyperlink xmlns:r="http://schemas.openxmlformats.org/officeDocument/2006/relationships" ref="B33" location="?s=47" display="https://www.ic3.gov/Media/PDF/AnnualReport/2017State/StateReport.aspx#?s=47" r:id="rId27"/>
    <hyperlink xmlns:r="http://schemas.openxmlformats.org/officeDocument/2006/relationships" ref="B34" location="?s=47" display="https://www.ic3.gov/Media/PDF/AnnualReport/2017State/StateReport.aspx#?s=47" r:id="rId28"/>
    <hyperlink xmlns:r="http://schemas.openxmlformats.org/officeDocument/2006/relationships" ref="B35" location="?s=47" display="https://www.ic3.gov/Media/PDF/AnnualReport/2017State/StateReport.aspx#?s=47" r:id="rId29"/>
    <hyperlink xmlns:r="http://schemas.openxmlformats.org/officeDocument/2006/relationships" ref="B36" location="?s=47" display="https://www.ic3.gov/Media/PDF/AnnualReport/2017State/StateReport.aspx#?s=47" r:id="rId30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4:P39"/>
  <sheetViews>
    <sheetView topLeftCell="A4" workbookViewId="0">
      <selection activeCell="F29" sqref="F29"/>
    </sheetView>
  </sheetViews>
  <sheetFormatPr baseColWidth="8" defaultRowHeight="14.4"/>
  <cols>
    <col width="70.109375" customWidth="1" min="2" max="2"/>
    <col width="27.5546875" bestFit="1" customWidth="1" min="3" max="3"/>
    <col width="17.6640625" customWidth="1" min="4" max="4"/>
    <col width="8.88671875" customWidth="1" min="5" max="5"/>
    <col width="24.6640625" customWidth="1" min="6" max="6"/>
    <col width="48.88671875" customWidth="1" min="7" max="7"/>
    <col width="41.88671875" customWidth="1" style="18" min="8" max="8"/>
    <col width="44" customWidth="1" style="19" min="9" max="9"/>
    <col width="56.21875" customWidth="1" min="10" max="10"/>
    <col width="34.21875" customWidth="1" style="8" min="11" max="13"/>
    <col width="44.6640625" customWidth="1" min="14" max="15"/>
    <col width="37.77734375" bestFit="1" customWidth="1" min="16" max="16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s="18" t="inlineStr">
        <is>
          <t>State Victim Loss</t>
        </is>
      </c>
      <c r="I4" s="19" t="inlineStr">
        <is>
          <t>Even Loss per State Victim Count</t>
        </is>
      </c>
      <c r="J4" t="inlineStr">
        <is>
          <t>Projected In-City Victim Loss</t>
        </is>
      </c>
      <c r="K4" s="8" t="inlineStr">
        <is>
          <t>State Subject (Perpetrator) Count</t>
        </is>
      </c>
      <c r="L4" s="8" t="inlineStr">
        <is>
          <t>Subject (Perpetrator) to State Population</t>
        </is>
      </c>
      <c r="M4" s="8" t="inlineStr">
        <is>
          <t>Estimated Subject to City Population</t>
        </is>
      </c>
      <c r="N4" t="inlineStr">
        <is>
          <t>State Subject Losses (Perpetrator gained X dollars)</t>
        </is>
      </c>
      <c r="O4" s="8" t="inlineStr">
        <is>
          <t>Even Loss per State Subject</t>
        </is>
      </c>
      <c r="P4" s="8" t="inlineStr">
        <is>
          <t xml:space="preserve">Estimated In-City Subject Losses (Perpetrator Take from Victim) </t>
        </is>
      </c>
    </row>
    <row r="5">
      <c r="B5" t="inlineStr">
        <is>
          <t>https://www.census.gov/quickfacts/fact/table/TN/PST045222</t>
        </is>
      </c>
      <c r="C5" t="inlineStr">
        <is>
          <t>TN Population in 2018</t>
        </is>
      </c>
      <c r="D5" t="inlineStr">
        <is>
          <t>Population Estimate</t>
        </is>
      </c>
      <c r="E5" s="1" t="n">
        <v>6771631</v>
      </c>
      <c r="F5" t="inlineStr">
        <is>
          <t>Raw Value</t>
        </is>
      </c>
      <c r="G5" t="inlineStr">
        <is>
          <t>(Victim Count/State Population ) * City Population</t>
        </is>
      </c>
      <c r="J5" t="inlineStr">
        <is>
          <t>Estimated In-City Victims * Even Loss per State Victim</t>
        </is>
      </c>
      <c r="P5" t="inlineStr">
        <is>
          <t>Subject to City * Even Loss per State Subject</t>
        </is>
      </c>
    </row>
    <row r="6" customFormat="1" s="2">
      <c r="B6" t="inlineStr">
        <is>
          <t>https://www.census.gov/quickfacts/chattanoogacitytennessee</t>
        </is>
      </c>
      <c r="C6" t="inlineStr">
        <is>
          <t>Chattanooga Population in 2018</t>
        </is>
      </c>
      <c r="D6" t="inlineStr">
        <is>
          <t>Population Estimate</t>
        </is>
      </c>
      <c r="E6" s="13" t="n">
        <v>181918</v>
      </c>
      <c r="H6" s="18" t="n"/>
      <c r="I6" s="19" t="n"/>
      <c r="K6" s="8" t="n"/>
      <c r="L6" s="8" t="n"/>
      <c r="M6" s="8" t="n"/>
    </row>
    <row r="7" customFormat="1" s="2">
      <c r="B7" s="12" t="inlineStr">
        <is>
          <t>https://www.ic3.gov/Media/PDF/AnnualReport/2018State/StateReport.aspx#?s=47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>
        <v>275</v>
      </c>
      <c r="F7" s="3">
        <f>E7/E5</f>
        <v/>
      </c>
      <c r="G7">
        <f>ROUNDDOWN(F7*E6,0)</f>
        <v/>
      </c>
      <c r="H7" s="20" t="n">
        <v>713685</v>
      </c>
      <c r="I7" s="19">
        <f>H7/E7</f>
        <v/>
      </c>
      <c r="J7" s="19">
        <f>I7*G7</f>
        <v/>
      </c>
      <c r="K7" s="8" t="n">
        <v>66</v>
      </c>
      <c r="L7" s="3">
        <f>K7/E5</f>
        <v/>
      </c>
      <c r="M7" s="8">
        <f>ROUNDDOWN(L7*E6,0)</f>
        <v/>
      </c>
      <c r="N7" s="20" t="n">
        <v>516623</v>
      </c>
      <c r="O7" s="21">
        <f>N7/K7</f>
        <v/>
      </c>
      <c r="P7" s="19">
        <f>M7*O7</f>
        <v/>
      </c>
    </row>
    <row r="8" customFormat="1" s="2">
      <c r="B8" s="12" t="inlineStr">
        <is>
          <t>https://www.ic3.gov/Media/PDF/AnnualReport/2018State/StateReport.aspx#?s=47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>
        <v>297</v>
      </c>
      <c r="F8" s="3">
        <f>E8/E5</f>
        <v/>
      </c>
      <c r="G8">
        <f>ROUNDDOWN(F8*E6,0)</f>
        <v/>
      </c>
      <c r="H8" s="20" t="n">
        <v>16072195</v>
      </c>
      <c r="I8" s="19">
        <f>H8/E8</f>
        <v/>
      </c>
      <c r="J8" s="19">
        <f>I8*G8</f>
        <v/>
      </c>
      <c r="K8" s="8" t="n">
        <v>59</v>
      </c>
      <c r="L8" s="3">
        <f>K8/E5</f>
        <v/>
      </c>
      <c r="M8" s="8">
        <f>ROUNDDOWN(L8*E6,0)</f>
        <v/>
      </c>
      <c r="N8" s="20" t="n">
        <v>3628283</v>
      </c>
      <c r="O8" s="21">
        <f>N8/K8</f>
        <v/>
      </c>
      <c r="P8" s="19">
        <f>M8*O8</f>
        <v/>
      </c>
    </row>
    <row r="9" customFormat="1" s="2">
      <c r="B9" s="12" t="inlineStr">
        <is>
          <t>https://www.ic3.gov/Media/PDF/AnnualReport/2018State/StateReport.aspx#?s=47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n"/>
      <c r="F9" s="3">
        <f>E9/E5</f>
        <v/>
      </c>
      <c r="G9">
        <f>ROUNDDOWN(F9*E6,0)</f>
        <v/>
      </c>
      <c r="H9" s="20" t="n"/>
      <c r="I9" s="19">
        <f>H9/E9</f>
        <v/>
      </c>
      <c r="J9" s="19">
        <f>I9*G9</f>
        <v/>
      </c>
      <c r="K9" s="8" t="n"/>
      <c r="L9" s="3">
        <f>K9/E5</f>
        <v/>
      </c>
      <c r="M9" s="8">
        <f>ROUNDDOWN(L9*E6,0)</f>
        <v/>
      </c>
      <c r="N9" s="21" t="n"/>
      <c r="O9" s="21">
        <f>N9/K9</f>
        <v/>
      </c>
      <c r="P9" s="19">
        <f>M9*O9</f>
        <v/>
      </c>
    </row>
    <row r="10" customFormat="1" s="2">
      <c r="B10" s="12" t="inlineStr">
        <is>
          <t>https://www.ic3.gov/Media/PDF/AnnualReport/2018State/StateReport.aspx#?s=47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>
        <v>268</v>
      </c>
      <c r="F10" s="3">
        <f>E10/E5</f>
        <v/>
      </c>
      <c r="G10">
        <f>ROUNDDOWN(F10*E6,0)</f>
        <v/>
      </c>
      <c r="H10" s="20" t="n">
        <v>5101478</v>
      </c>
      <c r="I10" s="19">
        <f>H10/E10</f>
        <v/>
      </c>
      <c r="J10" s="19">
        <f>I10*G10</f>
        <v/>
      </c>
      <c r="K10" s="8" t="n">
        <v>112</v>
      </c>
      <c r="L10" s="3">
        <f>K10/E5</f>
        <v/>
      </c>
      <c r="M10" s="8">
        <f>ROUNDDOWN(L10*E6,0)</f>
        <v/>
      </c>
      <c r="N10" s="20" t="n">
        <v>2307165</v>
      </c>
      <c r="O10" s="21">
        <f>N10/K10</f>
        <v/>
      </c>
      <c r="P10" s="19">
        <f>M10*O10</f>
        <v/>
      </c>
    </row>
    <row r="11" customFormat="1" s="2">
      <c r="B11" s="12" t="inlineStr">
        <is>
          <t>https://www.ic3.gov/Media/PDF/AnnualReport/2018State/StateReport.aspx#?s=47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n"/>
      <c r="F11" s="3">
        <f>E11/E5</f>
        <v/>
      </c>
      <c r="G11">
        <f>ROUNDDOWN(F11*E6,0)</f>
        <v/>
      </c>
      <c r="H11" s="22" t="n"/>
      <c r="I11" s="19">
        <f>H11/E11</f>
        <v/>
      </c>
      <c r="J11" s="19">
        <f>I11*G11</f>
        <v/>
      </c>
      <c r="K11" s="8" t="n"/>
      <c r="L11" s="3">
        <f>K11/E5</f>
        <v/>
      </c>
      <c r="M11" s="8">
        <f>ROUNDDOWN(L11*E6,0)</f>
        <v/>
      </c>
      <c r="N11" s="21" t="n"/>
      <c r="O11" s="21">
        <f>N11/K11</f>
        <v/>
      </c>
      <c r="P11" s="19">
        <f>M11*O11</f>
        <v/>
      </c>
    </row>
    <row r="12" customFormat="1" s="2">
      <c r="B12" s="12" t="inlineStr">
        <is>
          <t>https://www.ic3.gov/Media/PDF/AnnualReport/2018State/StateReport.aspx#?s=47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>
        <v>28</v>
      </c>
      <c r="F12" s="3">
        <f>E12/E5</f>
        <v/>
      </c>
      <c r="G12">
        <f>ROUNDDOWN(F12*E6,0)</f>
        <v/>
      </c>
      <c r="H12" s="18" t="n">
        <v>0</v>
      </c>
      <c r="I12" s="19">
        <f>H12/E12</f>
        <v/>
      </c>
      <c r="J12" s="19">
        <f>I12*G12</f>
        <v/>
      </c>
      <c r="K12" s="8" t="n">
        <v>8</v>
      </c>
      <c r="L12" s="3">
        <f>K12/E5</f>
        <v/>
      </c>
      <c r="M12" s="8">
        <f>ROUNDDOWN(L12*E6,0)</f>
        <v/>
      </c>
      <c r="N12" s="21" t="n">
        <v>0</v>
      </c>
      <c r="O12" s="21">
        <f>N12/K12</f>
        <v/>
      </c>
      <c r="P12" s="19">
        <f>M12*O12</f>
        <v/>
      </c>
    </row>
    <row r="13" customFormat="1" s="2">
      <c r="B13" s="12" t="inlineStr">
        <is>
          <t>https://www.ic3.gov/Media/PDF/AnnualReport/2018State/StateReport.aspx#?s=47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>
        <v>28</v>
      </c>
      <c r="F13" s="3">
        <f>E13/E5</f>
        <v/>
      </c>
      <c r="G13">
        <f>ROUNDDOWN(F13*E6,0)</f>
        <v/>
      </c>
      <c r="H13" s="20" t="n">
        <v>476146</v>
      </c>
      <c r="I13" s="19">
        <f>H13/E13</f>
        <v/>
      </c>
      <c r="J13" s="19">
        <f>I13*G13</f>
        <v/>
      </c>
      <c r="K13" s="8" t="n">
        <v>5</v>
      </c>
      <c r="L13" s="3">
        <f>K13/E5</f>
        <v/>
      </c>
      <c r="M13" s="8">
        <f>ROUNDDOWN(L13*E6,0)</f>
        <v/>
      </c>
      <c r="N13" s="20" t="n">
        <v>126300</v>
      </c>
      <c r="O13" s="21">
        <f>N13/K13</f>
        <v/>
      </c>
      <c r="P13" s="19">
        <f>M13*O13</f>
        <v/>
      </c>
    </row>
    <row r="14" customFormat="1" s="2">
      <c r="B14" s="12" t="inlineStr">
        <is>
          <t>https://www.ic3.gov/Media/PDF/AnnualReport/2018State/StateReport.aspx#?s=47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>
        <v>258</v>
      </c>
      <c r="F14" s="3">
        <f>E14/E5</f>
        <v/>
      </c>
      <c r="G14">
        <f>ROUNDDOWN(F14*E6,0)</f>
        <v/>
      </c>
      <c r="H14" s="20" t="n">
        <v>268247</v>
      </c>
      <c r="I14" s="19">
        <f>H14/E14</f>
        <v/>
      </c>
      <c r="J14" s="19">
        <f>I14*G14</f>
        <v/>
      </c>
      <c r="K14" s="8" t="n">
        <v>85</v>
      </c>
      <c r="L14" s="3">
        <f>K14/E5</f>
        <v/>
      </c>
      <c r="M14" s="8">
        <f>ROUNDDOWN(L14*E6,0)</f>
        <v/>
      </c>
      <c r="N14" s="22" t="n">
        <v>157215</v>
      </c>
      <c r="O14" s="9" t="n"/>
      <c r="P14" s="19">
        <f>M14*O14</f>
        <v/>
      </c>
    </row>
    <row r="15" customFormat="1" s="2">
      <c r="B15" s="12" t="inlineStr">
        <is>
          <t>https://www.ic3.gov/Media/PDF/AnnualReport/2018State/StateReport.aspx#?s=47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>
        <v>759</v>
      </c>
      <c r="F15" s="3">
        <f>E15/E5</f>
        <v/>
      </c>
      <c r="G15">
        <f>ROUNDDOWN(F15*E6,0)</f>
        <v/>
      </c>
      <c r="H15" s="20" t="n">
        <v>298202</v>
      </c>
      <c r="I15" s="19">
        <f>H15/E15</f>
        <v/>
      </c>
      <c r="J15" s="19">
        <f>I15*G15</f>
        <v/>
      </c>
      <c r="K15" s="8" t="n">
        <v>105</v>
      </c>
      <c r="L15" s="3">
        <f>K15/E5</f>
        <v/>
      </c>
      <c r="M15" s="8">
        <f>ROUNDDOWN(L15*E6,0)</f>
        <v/>
      </c>
      <c r="N15" s="22" t="n">
        <v>258828</v>
      </c>
      <c r="O15" s="9" t="n"/>
      <c r="P15" s="19">
        <f>M15*O15</f>
        <v/>
      </c>
    </row>
    <row r="16" customFormat="1" s="2">
      <c r="B16" s="12" t="inlineStr">
        <is>
          <t>https://www.ic3.gov/Media/PDF/AnnualReport/2018State/StateReport.aspx#?s=47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>
        <v>236</v>
      </c>
      <c r="F16" s="3">
        <f>E16/E5</f>
        <v/>
      </c>
      <c r="G16">
        <f>ROUNDDOWN(F16*E6,0)</f>
        <v/>
      </c>
      <c r="H16" s="22" t="n">
        <v>504683</v>
      </c>
      <c r="I16" s="9" t="n"/>
      <c r="J16" s="19">
        <f>I16*G16</f>
        <v/>
      </c>
      <c r="K16" s="8" t="n">
        <v>24</v>
      </c>
      <c r="L16" s="3">
        <f>K16/E5</f>
        <v/>
      </c>
      <c r="M16" s="8">
        <f>ROUNDDOWN(L16*E6,0)</f>
        <v/>
      </c>
      <c r="N16" s="20" t="n">
        <v>109665</v>
      </c>
      <c r="O16" s="21">
        <f>N16/K16</f>
        <v/>
      </c>
      <c r="P16" s="19">
        <f>M16*O16</f>
        <v/>
      </c>
    </row>
    <row r="17" customFormat="1" s="2">
      <c r="B17" s="12" t="inlineStr">
        <is>
          <t>https://www.ic3.gov/Media/PDF/AnnualReport/2018State/StateReport.aspx#?s=47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n"/>
      <c r="F17" s="3">
        <f>E17/E5</f>
        <v/>
      </c>
      <c r="G17">
        <f>ROUNDDOWN(F17*E6,0)</f>
        <v/>
      </c>
      <c r="H17" s="20" t="n"/>
      <c r="I17" s="19">
        <f>H17/E17</f>
        <v/>
      </c>
      <c r="J17" s="19">
        <f>I17*G17</f>
        <v/>
      </c>
      <c r="K17" s="8" t="n"/>
      <c r="L17" s="3">
        <f>K17/E5</f>
        <v/>
      </c>
      <c r="M17" s="8">
        <f>ROUNDDOWN(L17*E6,0)</f>
        <v/>
      </c>
      <c r="N17" s="23" t="n"/>
      <c r="O17" s="21">
        <f>N17/K17</f>
        <v/>
      </c>
      <c r="P17" s="19">
        <f>M17*O17</f>
        <v/>
      </c>
    </row>
    <row r="18" customFormat="1" s="2">
      <c r="B18" s="12" t="inlineStr">
        <is>
          <t>https://www.ic3.gov/Media/PDF/AnnualReport/2018State/StateReport.aspx#?s=47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>
        <v>25</v>
      </c>
      <c r="F18" s="3">
        <f>E18/E5</f>
        <v/>
      </c>
      <c r="G18">
        <f>ROUNDDOWN(F18*E6,0)</f>
        <v/>
      </c>
      <c r="H18" s="20" t="n">
        <v>62769</v>
      </c>
      <c r="I18" s="19">
        <f>H18/E18</f>
        <v/>
      </c>
      <c r="J18" s="19">
        <f>I18*G18</f>
        <v/>
      </c>
      <c r="K18" s="8" t="n">
        <v>10</v>
      </c>
      <c r="L18" s="3">
        <f>K18/E5</f>
        <v/>
      </c>
      <c r="M18" s="8">
        <f>ROUNDDOWN(L18*E6,0)</f>
        <v/>
      </c>
      <c r="N18" s="22" t="n">
        <v>62431</v>
      </c>
      <c r="O18" s="9" t="n"/>
      <c r="P18" s="19">
        <f>M18*O18</f>
        <v/>
      </c>
    </row>
    <row r="19" customFormat="1" s="2">
      <c r="B19" s="12" t="inlineStr">
        <is>
          <t>https://www.ic3.gov/Media/PDF/AnnualReport/2018State/StateReport.aspx#?s=47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>
        <v>407</v>
      </c>
      <c r="F19" s="3">
        <f>E19/E5</f>
        <v/>
      </c>
      <c r="G19">
        <f>ROUNDDOWN(F19*E6,0)</f>
        <v/>
      </c>
      <c r="H19" s="20" t="n">
        <v>1271461</v>
      </c>
      <c r="I19" s="19">
        <f>H19/E19</f>
        <v/>
      </c>
      <c r="J19" s="19">
        <f>I19*G19</f>
        <v/>
      </c>
      <c r="K19" s="8" t="n">
        <v>235</v>
      </c>
      <c r="L19" s="3">
        <f>K19/E5</f>
        <v/>
      </c>
      <c r="M19" s="8">
        <f>ROUNDDOWN(L19*E6,0)</f>
        <v/>
      </c>
      <c r="N19" s="20" t="n">
        <v>235577</v>
      </c>
      <c r="O19" s="21">
        <f>N19/K19</f>
        <v/>
      </c>
      <c r="P19" s="19">
        <f>M19*O19</f>
        <v/>
      </c>
    </row>
    <row r="20" customFormat="1" s="2">
      <c r="B20" s="12" t="inlineStr">
        <is>
          <t>https://www.ic3.gov/Media/PDF/AnnualReport/2018State/StateReport.aspx#?s=47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>
        <v>17</v>
      </c>
      <c r="F20" s="3">
        <f>E20/E5</f>
        <v/>
      </c>
      <c r="G20">
        <f>ROUNDDOWN(F20*E6,0)</f>
        <v/>
      </c>
      <c r="H20" s="20" t="n">
        <v>1124651</v>
      </c>
      <c r="I20" s="19">
        <f>H20/E20</f>
        <v/>
      </c>
      <c r="J20" s="19">
        <f>I20*G20</f>
        <v/>
      </c>
      <c r="K20" s="8" t="n">
        <v>9</v>
      </c>
      <c r="L20" s="3">
        <f>K20/E5</f>
        <v/>
      </c>
      <c r="M20" s="8">
        <f>ROUNDDOWN(L20*E6,0)</f>
        <v/>
      </c>
      <c r="N20" s="20" t="n">
        <v>1959171</v>
      </c>
      <c r="O20" s="21">
        <f>N20/K20</f>
        <v/>
      </c>
      <c r="P20" s="19">
        <f>M20*O20</f>
        <v/>
      </c>
    </row>
    <row r="21" customFormat="1" s="2">
      <c r="B21" s="12" t="inlineStr">
        <is>
          <t>https://www.ic3.gov/Media/PDF/AnnualReport/2018State/StateReport.aspx#?s=47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>
        <v>117</v>
      </c>
      <c r="F21" s="3">
        <f>E21/E5</f>
        <v/>
      </c>
      <c r="G21">
        <f>ROUNDDOWN(F21*E6,0)</f>
        <v/>
      </c>
      <c r="H21" s="20" t="n">
        <v>35007</v>
      </c>
      <c r="I21" s="19">
        <f>H21/E21</f>
        <v/>
      </c>
      <c r="J21" s="19">
        <f>I21*G21</f>
        <v/>
      </c>
      <c r="K21" s="8" t="n">
        <v>20</v>
      </c>
      <c r="L21" s="3">
        <f>K21/E5</f>
        <v/>
      </c>
      <c r="M21" s="8">
        <f>ROUNDDOWN(L21*E6,0)</f>
        <v/>
      </c>
      <c r="N21" s="20" t="n">
        <v>185881</v>
      </c>
      <c r="O21" s="21">
        <f>N21/K21</f>
        <v/>
      </c>
      <c r="P21" s="19">
        <f>M21*O21</f>
        <v/>
      </c>
    </row>
    <row r="22" customFormat="1" s="2">
      <c r="B22" s="12" t="inlineStr">
        <is>
          <t>https://www.ic3.gov/Media/PDF/AnnualReport/2018State/StateReport.aspx#?s=47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>
        <v>23</v>
      </c>
      <c r="F22" s="3">
        <f>E22/E5</f>
        <v/>
      </c>
      <c r="G22">
        <f>ROUNDDOWN(F22*E6,0)</f>
        <v/>
      </c>
      <c r="H22" s="20" t="n">
        <v>150</v>
      </c>
      <c r="I22" s="19">
        <f>H22/E22</f>
        <v/>
      </c>
      <c r="J22" s="19">
        <f>I22*G22</f>
        <v/>
      </c>
      <c r="K22" s="8" t="n">
        <v>5</v>
      </c>
      <c r="L22" s="3">
        <f>K22/E5</f>
        <v/>
      </c>
      <c r="M22" s="8">
        <f>ROUNDDOWN(L22*E6,0)</f>
        <v/>
      </c>
      <c r="N22" s="20" t="n">
        <v>1758</v>
      </c>
      <c r="O22" s="21">
        <f>N22/K22</f>
        <v/>
      </c>
      <c r="P22" s="19">
        <f>M22*O22</f>
        <v/>
      </c>
    </row>
    <row r="23" customFormat="1" s="2">
      <c r="B23" s="12" t="inlineStr">
        <is>
          <t>https://www.ic3.gov/Media/PDF/AnnualReport/2018State/StateReport.aspx#?s=47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n"/>
      <c r="F23" s="3">
        <f>E23/E5</f>
        <v/>
      </c>
      <c r="G23">
        <f>ROUNDDOWN(F23*E6,0)</f>
        <v/>
      </c>
      <c r="H23" s="20" t="n"/>
      <c r="I23" s="19">
        <f>H23/E23</f>
        <v/>
      </c>
      <c r="J23" s="19">
        <f>I23*G23</f>
        <v/>
      </c>
      <c r="K23" s="8" t="n"/>
      <c r="L23" s="3">
        <f>K23/E5</f>
        <v/>
      </c>
      <c r="M23" s="8">
        <f>ROUNDDOWN(L23*E6,0)</f>
        <v/>
      </c>
      <c r="N23" s="21" t="n"/>
      <c r="O23" s="21">
        <f>N23/K23</f>
        <v/>
      </c>
      <c r="P23" s="19">
        <f>M23*O23</f>
        <v/>
      </c>
    </row>
    <row r="24" customFormat="1" s="2">
      <c r="B24" s="12" t="inlineStr">
        <is>
          <t>https://www.ic3.gov/Media/PDF/AnnualReport/2018State/StateReport.aspx#?s=47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n"/>
      <c r="F24" s="3">
        <f>E24/E5</f>
        <v/>
      </c>
      <c r="G24">
        <f>ROUNDDOWN(F24*E6,0)</f>
        <v/>
      </c>
      <c r="H24" s="20" t="n"/>
      <c r="I24" s="19">
        <f>H24/E24</f>
        <v/>
      </c>
      <c r="J24" s="19">
        <f>I24*G24</f>
        <v/>
      </c>
      <c r="K24" s="8" t="n"/>
      <c r="L24" s="3">
        <f>K24/E5</f>
        <v/>
      </c>
      <c r="M24" s="8">
        <f>ROUNDDOWN(L24*E6,0)</f>
        <v/>
      </c>
      <c r="N24" s="21" t="n"/>
      <c r="O24" s="21">
        <f>N24/K24</f>
        <v/>
      </c>
      <c r="P24" s="19">
        <f>M24*O24</f>
        <v/>
      </c>
    </row>
    <row r="25" customFormat="1" s="2">
      <c r="B25" s="12" t="inlineStr">
        <is>
          <t>https://www.ic3.gov/Media/PDF/AnnualReport/2018State/StateReport.aspx#?s=47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>
        <v>691</v>
      </c>
      <c r="F25" s="3">
        <f>E25/E5</f>
        <v/>
      </c>
      <c r="G25">
        <f>ROUNDDOWN(F25*E6,0)</f>
        <v/>
      </c>
      <c r="H25" s="20" t="n">
        <v>2000</v>
      </c>
      <c r="I25" s="19">
        <f>H25/E25</f>
        <v/>
      </c>
      <c r="J25" s="19">
        <f>I25*G25</f>
        <v/>
      </c>
      <c r="K25" s="8" t="n">
        <v>501</v>
      </c>
      <c r="L25" s="3">
        <f>K25/E5</f>
        <v/>
      </c>
      <c r="M25" s="8">
        <f>ROUNDDOWN(L25*E6,0)</f>
        <v/>
      </c>
      <c r="N25" s="21" t="n">
        <v>0</v>
      </c>
      <c r="O25" s="21">
        <f>N25/K25</f>
        <v/>
      </c>
      <c r="P25" s="19">
        <f>M25*O25</f>
        <v/>
      </c>
    </row>
    <row r="26" customFormat="1" s="2">
      <c r="B26" s="12" t="inlineStr">
        <is>
          <t>https://www.ic3.gov/Media/PDF/AnnualReport/2018State/StateReport.aspx#?s=47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>
        <v>1020</v>
      </c>
      <c r="F26" s="3">
        <f>E26/E5</f>
        <v/>
      </c>
      <c r="G26">
        <f>ROUNDDOWN(F26*E6,0)</f>
        <v/>
      </c>
      <c r="H26" s="20" t="n">
        <v>2450142</v>
      </c>
      <c r="I26" s="19">
        <f>H26/E26</f>
        <v/>
      </c>
      <c r="J26" s="19">
        <f>I26*G26</f>
        <v/>
      </c>
      <c r="K26" s="8" t="n">
        <v>350</v>
      </c>
      <c r="L26" s="3">
        <f>K26/E5</f>
        <v/>
      </c>
      <c r="M26" s="8">
        <f>ROUNDDOWN(L26*E6,0)</f>
        <v/>
      </c>
      <c r="N26" s="20" t="n">
        <v>1352168</v>
      </c>
      <c r="O26" s="21">
        <f>N26/K26</f>
        <v/>
      </c>
      <c r="P26" s="19">
        <f>M26*O26</f>
        <v/>
      </c>
    </row>
    <row r="27" customFormat="1" s="2">
      <c r="B27" s="12" t="inlineStr">
        <is>
          <t>https://www.ic3.gov/Media/PDF/AnnualReport/2018State/StateReport.aspx#?s=47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>
        <v>146</v>
      </c>
      <c r="F27" s="3">
        <f>E27/E5</f>
        <v/>
      </c>
      <c r="G27">
        <f>ROUNDDOWN(F27*E6,0)</f>
        <v/>
      </c>
      <c r="H27" s="20" t="n">
        <v>98342</v>
      </c>
      <c r="I27" s="19">
        <f>H27/E27</f>
        <v/>
      </c>
      <c r="J27" s="19">
        <f>I27*G27</f>
        <v/>
      </c>
      <c r="K27" s="8" t="n">
        <v>64</v>
      </c>
      <c r="L27" s="3">
        <f>K27/E5</f>
        <v/>
      </c>
      <c r="M27" s="8">
        <f>ROUNDDOWN(L27*E6,0)</f>
        <v/>
      </c>
      <c r="N27" s="20" t="n">
        <v>212276</v>
      </c>
      <c r="O27" s="21">
        <f>N27/K27</f>
        <v/>
      </c>
      <c r="P27" s="19">
        <f>M27*O27</f>
        <v/>
      </c>
    </row>
    <row r="28" customFormat="1" s="2">
      <c r="B28" s="12" t="inlineStr">
        <is>
          <t>https://www.ic3.gov/Media/PDF/AnnualReport/2018State/StateReport.aspx#?s=47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>
        <v>228</v>
      </c>
      <c r="F28" s="3">
        <f>E28/E5</f>
        <v/>
      </c>
      <c r="G28">
        <f>ROUNDDOWN(F28*E6,0)</f>
        <v/>
      </c>
      <c r="H28" s="20" t="n">
        <v>205197</v>
      </c>
      <c r="I28" s="19">
        <f>H28/E28</f>
        <v/>
      </c>
      <c r="J28" s="19">
        <f>I28*G28</f>
        <v/>
      </c>
      <c r="K28" s="8" t="n">
        <v>91</v>
      </c>
      <c r="L28" s="3">
        <f>K28/E5</f>
        <v/>
      </c>
      <c r="M28" s="8">
        <f>ROUNDDOWN(L28*E6,0)</f>
        <v/>
      </c>
      <c r="N28" s="20" t="n">
        <v>164202</v>
      </c>
      <c r="O28" s="21">
        <f>N28/K28</f>
        <v/>
      </c>
      <c r="P28" s="19">
        <f>M28*O28</f>
        <v/>
      </c>
    </row>
    <row r="29" customFormat="1" s="2">
      <c r="B29" s="12" t="inlineStr">
        <is>
          <t>https://www.ic3.gov/Media/PDF/AnnualReport/2018State/StateReport.aspx#?s=47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>
        <v>697</v>
      </c>
      <c r="F29" s="3">
        <f>E29/E5</f>
        <v/>
      </c>
      <c r="G29">
        <f>ROUNDDOWN(F29*E6,0)</f>
        <v/>
      </c>
      <c r="H29" s="20" t="n">
        <v>1078377</v>
      </c>
      <c r="I29" s="19">
        <f>H29/E29</f>
        <v/>
      </c>
      <c r="J29" s="19">
        <f>I29*G29</f>
        <v/>
      </c>
      <c r="K29" s="8" t="n">
        <v>187</v>
      </c>
      <c r="L29" s="3">
        <f>K29/E5</f>
        <v/>
      </c>
      <c r="M29" s="8">
        <f>ROUNDDOWN(L29*E6,0)</f>
        <v/>
      </c>
      <c r="N29" s="20" t="n">
        <v>534473</v>
      </c>
      <c r="O29" s="21">
        <f>N29/K29</f>
        <v/>
      </c>
      <c r="P29" s="19">
        <f>M29*O29</f>
        <v/>
      </c>
    </row>
    <row r="30" customFormat="1" s="2">
      <c r="B30" s="12" t="inlineStr">
        <is>
          <t>https://www.ic3.gov/Media/PDF/AnnualReport/2018State/StateReport.aspx#?s=47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>
        <v>311</v>
      </c>
      <c r="F30" s="3">
        <f>E30/E5</f>
        <v/>
      </c>
      <c r="G30">
        <f>ROUNDDOWN(F30*E6,0)</f>
        <v/>
      </c>
      <c r="H30" s="20" t="n">
        <v>236437</v>
      </c>
      <c r="I30" s="19">
        <f>H30/E30</f>
        <v/>
      </c>
      <c r="J30" s="19">
        <f>I30*G30</f>
        <v/>
      </c>
      <c r="K30" s="8" t="n">
        <v>52</v>
      </c>
      <c r="L30" s="3">
        <f>K30/E5</f>
        <v/>
      </c>
      <c r="M30" s="8">
        <f>ROUNDDOWN(L30*E6,0)</f>
        <v/>
      </c>
      <c r="N30" s="20" t="n">
        <v>256030</v>
      </c>
      <c r="O30" s="21">
        <f>N30/K30</f>
        <v/>
      </c>
      <c r="P30" s="19">
        <f>M30*O30</f>
        <v/>
      </c>
    </row>
    <row r="31" customFormat="1" s="2">
      <c r="B31" s="12" t="inlineStr">
        <is>
          <t>https://www.ic3.gov/Media/PDF/AnnualReport/2018State/StateReport.aspx#?s=47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>
        <v>20</v>
      </c>
      <c r="F31" s="3">
        <f>E31/E5</f>
        <v/>
      </c>
      <c r="G31">
        <f>ROUNDDOWN(F31*E6,0)</f>
        <v/>
      </c>
      <c r="H31" s="20" t="n">
        <v>36722</v>
      </c>
      <c r="I31" s="19">
        <f>H31/E31</f>
        <v/>
      </c>
      <c r="J31" s="19">
        <f>I31*G31</f>
        <v/>
      </c>
      <c r="K31" s="8" t="n">
        <v>1</v>
      </c>
      <c r="L31" s="3">
        <f>K31/E5</f>
        <v/>
      </c>
      <c r="M31" s="8">
        <f>ROUNDDOWN(L31*E6,0)</f>
        <v/>
      </c>
      <c r="N31" s="21" t="n">
        <v>0</v>
      </c>
      <c r="O31" s="21">
        <f>N31/K31</f>
        <v/>
      </c>
      <c r="P31" s="19">
        <f>M31*O31</f>
        <v/>
      </c>
    </row>
    <row r="32" customFormat="1" s="2">
      <c r="B32" s="12" t="inlineStr">
        <is>
          <t>https://www.ic3.gov/Media/PDF/AnnualReport/2018State/StateReport.aspx#?s=47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>
        <v>154</v>
      </c>
      <c r="F32" s="3">
        <f>E32/E5</f>
        <v/>
      </c>
      <c r="G32">
        <f>ROUNDDOWN(F32*E6,0)</f>
        <v/>
      </c>
      <c r="H32" s="20" t="n">
        <v>1252773</v>
      </c>
      <c r="I32" s="19">
        <f>H32/E32</f>
        <v/>
      </c>
      <c r="J32" s="19">
        <f>I32*G32</f>
        <v/>
      </c>
      <c r="K32" s="8" t="n">
        <v>94</v>
      </c>
      <c r="L32" s="3">
        <f>K32/E5</f>
        <v/>
      </c>
      <c r="M32" s="8">
        <f>ROUNDDOWN(L32*E6,0)</f>
        <v/>
      </c>
      <c r="N32" s="20" t="n">
        <v>730382</v>
      </c>
      <c r="O32" s="21">
        <f>N32/K32</f>
        <v/>
      </c>
      <c r="P32" s="19">
        <f>M32*O32</f>
        <v/>
      </c>
    </row>
    <row r="33" customFormat="1" s="2">
      <c r="B33" s="12" t="inlineStr">
        <is>
          <t>https://www.ic3.gov/Media/PDF/AnnualReport/2018State/StateReport.aspx#?s=47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n"/>
      <c r="F33" s="3">
        <f>E33/E5</f>
        <v/>
      </c>
      <c r="G33">
        <f>ROUNDDOWN(F33*E6,0)</f>
        <v/>
      </c>
      <c r="H33" s="20" t="n"/>
      <c r="I33" s="19">
        <f>H33/E33</f>
        <v/>
      </c>
      <c r="J33" s="19">
        <f>I33*G33</f>
        <v/>
      </c>
      <c r="K33" s="8" t="n"/>
      <c r="L33" s="3">
        <f>K33/E5</f>
        <v/>
      </c>
      <c r="M33" s="8">
        <f>ROUNDDOWN(L33*E6,0)</f>
        <v/>
      </c>
      <c r="N33" s="20" t="n"/>
      <c r="O33" s="21">
        <f>N33/K33</f>
        <v/>
      </c>
      <c r="P33" s="19">
        <f>M33*O33</f>
        <v/>
      </c>
    </row>
    <row r="34" customFormat="1" s="2">
      <c r="B34" s="12" t="inlineStr">
        <is>
          <t>https://www.ic3.gov/Media/PDF/AnnualReport/2018State/StateReport.aspx#?s=47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>
        <v>193</v>
      </c>
      <c r="F34" s="3">
        <f>E34/E5</f>
        <v/>
      </c>
      <c r="G34">
        <f>ROUNDDOWN(F34*E6,0)</f>
        <v/>
      </c>
      <c r="H34" s="20" t="n">
        <v>297281</v>
      </c>
      <c r="I34" s="19">
        <f>H34/E34</f>
        <v/>
      </c>
      <c r="J34" s="19">
        <f>I34*G34</f>
        <v/>
      </c>
      <c r="K34" s="8" t="n">
        <v>40</v>
      </c>
      <c r="L34" s="3">
        <f>K34/E5</f>
        <v/>
      </c>
      <c r="M34" s="8">
        <f>ROUNDDOWN(L34*E6,0)</f>
        <v/>
      </c>
      <c r="N34" s="20" t="n">
        <v>429686</v>
      </c>
      <c r="O34" s="21">
        <f>N34/K34</f>
        <v/>
      </c>
      <c r="P34" s="19">
        <f>M34*O34</f>
        <v/>
      </c>
    </row>
    <row r="35" customFormat="1" s="2">
      <c r="B35" s="12" t="inlineStr">
        <is>
          <t>https://www.ic3.gov/Media/PDF/AnnualReport/2018State/StateReport.aspx#?s=47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>
        <v>245</v>
      </c>
      <c r="F35" s="3">
        <f>E35/E5</f>
        <v/>
      </c>
      <c r="G35">
        <f>ROUNDDOWN(F35*E6,0)</f>
        <v/>
      </c>
      <c r="H35" s="20" t="n">
        <v>405006</v>
      </c>
      <c r="I35" s="19">
        <f>H35/E35</f>
        <v/>
      </c>
      <c r="J35" s="19">
        <f>I35*G35</f>
        <v/>
      </c>
      <c r="K35" s="8" t="n">
        <v>28</v>
      </c>
      <c r="L35" s="3">
        <f>K35/E5</f>
        <v/>
      </c>
      <c r="M35" s="8">
        <f>ROUNDDOWN(L35*E6,0)</f>
        <v/>
      </c>
      <c r="N35" s="20" t="n">
        <v>214280</v>
      </c>
      <c r="O35" s="21">
        <f>N35/K35</f>
        <v/>
      </c>
      <c r="P35" s="19">
        <f>M35*O35</f>
        <v/>
      </c>
    </row>
    <row r="36" customFormat="1" s="2">
      <c r="B36" s="12" t="inlineStr">
        <is>
          <t>https://www.ic3.gov/Media/PDF/AnnualReport/2018State/StateReport.aspx#?s=47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>
        <v>262</v>
      </c>
      <c r="F36" s="3">
        <f>E36/E5</f>
        <v/>
      </c>
      <c r="G36">
        <f>ROUNDDOWN(F36*E6,0)</f>
        <v/>
      </c>
      <c r="H36" s="20" t="n">
        <v>110608</v>
      </c>
      <c r="I36" s="19">
        <f>H36/E36</f>
        <v/>
      </c>
      <c r="J36" s="19">
        <f>I36*G36</f>
        <v/>
      </c>
      <c r="K36" s="8" t="n">
        <v>125</v>
      </c>
      <c r="L36" s="3">
        <f>K36/E5</f>
        <v/>
      </c>
      <c r="M36" s="8">
        <f>ROUNDDOWN(L36*E6,0)</f>
        <v/>
      </c>
      <c r="N36" s="20" t="n">
        <v>91667</v>
      </c>
      <c r="O36" s="21">
        <f>N36/K36</f>
        <v/>
      </c>
      <c r="P36" s="19">
        <f>M36*O36</f>
        <v/>
      </c>
    </row>
    <row r="37">
      <c r="J37" s="19">
        <f>I37*G37</f>
        <v/>
      </c>
      <c r="L37" s="3" t="n"/>
      <c r="M37" s="3" t="n"/>
      <c r="N37" s="21" t="n"/>
      <c r="O37" s="21" t="n"/>
    </row>
    <row r="38">
      <c r="E38" s="1">
        <f>SUM(E7:E36)</f>
        <v/>
      </c>
      <c r="G38">
        <f>SUM(G8:G36)</f>
        <v/>
      </c>
      <c r="I38" s="19">
        <f>H38/E38</f>
        <v/>
      </c>
      <c r="J38" s="19">
        <f>I38*G38</f>
        <v/>
      </c>
      <c r="L38" s="3" t="n"/>
      <c r="M38" s="3" t="n"/>
      <c r="N38" s="21" t="n"/>
      <c r="O38" s="21" t="n"/>
    </row>
    <row r="39">
      <c r="C39" t="inlineStr">
        <is>
          <t>Harassment/Stalking/Threats of Violence/Terrorism combined</t>
        </is>
      </c>
    </row>
  </sheetData>
  <hyperlinks>
    <hyperlink xmlns:r="http://schemas.openxmlformats.org/officeDocument/2006/relationships" ref="B7" location="?s=47" r:id="rId1"/>
    <hyperlink xmlns:r="http://schemas.openxmlformats.org/officeDocument/2006/relationships" ref="B8" location="?s=47" display="https://www.ic3.gov/Media/PDF/AnnualReport/2018State/StateReport.aspx#?s=47" r:id="rId2"/>
    <hyperlink xmlns:r="http://schemas.openxmlformats.org/officeDocument/2006/relationships" ref="B9" location="?s=47" display="https://www.ic3.gov/Media/PDF/AnnualReport/2018State/StateReport.aspx#?s=47" r:id="rId3"/>
    <hyperlink xmlns:r="http://schemas.openxmlformats.org/officeDocument/2006/relationships" ref="B10" location="?s=47" display="https://www.ic3.gov/Media/PDF/AnnualReport/2018State/StateReport.aspx#?s=47" r:id="rId4"/>
    <hyperlink xmlns:r="http://schemas.openxmlformats.org/officeDocument/2006/relationships" ref="B11" location="?s=47" display="https://www.ic3.gov/Media/PDF/AnnualReport/2018State/StateReport.aspx#?s=47" r:id="rId5"/>
    <hyperlink xmlns:r="http://schemas.openxmlformats.org/officeDocument/2006/relationships" ref="B12" location="?s=47" display="https://www.ic3.gov/Media/PDF/AnnualReport/2018State/StateReport.aspx#?s=47" r:id="rId6"/>
    <hyperlink xmlns:r="http://schemas.openxmlformats.org/officeDocument/2006/relationships" ref="B13" location="?s=47" display="https://www.ic3.gov/Media/PDF/AnnualReport/2018State/StateReport.aspx#?s=47" r:id="rId7"/>
    <hyperlink xmlns:r="http://schemas.openxmlformats.org/officeDocument/2006/relationships" ref="B14" location="?s=47" display="https://www.ic3.gov/Media/PDF/AnnualReport/2018State/StateReport.aspx#?s=47" r:id="rId8"/>
    <hyperlink xmlns:r="http://schemas.openxmlformats.org/officeDocument/2006/relationships" ref="B15" location="?s=47" display="https://www.ic3.gov/Media/PDF/AnnualReport/2018State/StateReport.aspx#?s=47" r:id="rId9"/>
    <hyperlink xmlns:r="http://schemas.openxmlformats.org/officeDocument/2006/relationships" ref="B16" location="?s=47" display="https://www.ic3.gov/Media/PDF/AnnualReport/2018State/StateReport.aspx#?s=47" r:id="rId10"/>
    <hyperlink xmlns:r="http://schemas.openxmlformats.org/officeDocument/2006/relationships" ref="B17" location="?s=47" display="https://www.ic3.gov/Media/PDF/AnnualReport/2018State/StateReport.aspx#?s=47" r:id="rId11"/>
    <hyperlink xmlns:r="http://schemas.openxmlformats.org/officeDocument/2006/relationships" ref="B18" location="?s=47" display="https://www.ic3.gov/Media/PDF/AnnualReport/2018State/StateReport.aspx#?s=47" r:id="rId12"/>
    <hyperlink xmlns:r="http://schemas.openxmlformats.org/officeDocument/2006/relationships" ref="B19" location="?s=47" display="https://www.ic3.gov/Media/PDF/AnnualReport/2018State/StateReport.aspx#?s=47" r:id="rId13"/>
    <hyperlink xmlns:r="http://schemas.openxmlformats.org/officeDocument/2006/relationships" ref="B20" location="?s=47" display="https://www.ic3.gov/Media/PDF/AnnualReport/2018State/StateReport.aspx#?s=47" r:id="rId14"/>
    <hyperlink xmlns:r="http://schemas.openxmlformats.org/officeDocument/2006/relationships" ref="B21" location="?s=47" display="https://www.ic3.gov/Media/PDF/AnnualReport/2018State/StateReport.aspx#?s=47" r:id="rId15"/>
    <hyperlink xmlns:r="http://schemas.openxmlformats.org/officeDocument/2006/relationships" ref="B22" location="?s=47" display="https://www.ic3.gov/Media/PDF/AnnualReport/2018State/StateReport.aspx#?s=47" r:id="rId16"/>
    <hyperlink xmlns:r="http://schemas.openxmlformats.org/officeDocument/2006/relationships" ref="B23" location="?s=47" display="https://www.ic3.gov/Media/PDF/AnnualReport/2018State/StateReport.aspx#?s=47" r:id="rId17"/>
    <hyperlink xmlns:r="http://schemas.openxmlformats.org/officeDocument/2006/relationships" ref="B24" location="?s=47" display="https://www.ic3.gov/Media/PDF/AnnualReport/2018State/StateReport.aspx#?s=47" r:id="rId18"/>
    <hyperlink xmlns:r="http://schemas.openxmlformats.org/officeDocument/2006/relationships" ref="B25" location="?s=47" display="https://www.ic3.gov/Media/PDF/AnnualReport/2018State/StateReport.aspx#?s=47" r:id="rId19"/>
    <hyperlink xmlns:r="http://schemas.openxmlformats.org/officeDocument/2006/relationships" ref="B26" location="?s=47" display="https://www.ic3.gov/Media/PDF/AnnualReport/2018State/StateReport.aspx#?s=47" r:id="rId20"/>
    <hyperlink xmlns:r="http://schemas.openxmlformats.org/officeDocument/2006/relationships" ref="B27" location="?s=47" display="https://www.ic3.gov/Media/PDF/AnnualReport/2018State/StateReport.aspx#?s=47" r:id="rId21"/>
    <hyperlink xmlns:r="http://schemas.openxmlformats.org/officeDocument/2006/relationships" ref="B28" location="?s=47" display="https://www.ic3.gov/Media/PDF/AnnualReport/2018State/StateReport.aspx#?s=47" r:id="rId22"/>
    <hyperlink xmlns:r="http://schemas.openxmlformats.org/officeDocument/2006/relationships" ref="B29" location="?s=47" display="https://www.ic3.gov/Media/PDF/AnnualReport/2018State/StateReport.aspx#?s=47" r:id="rId23"/>
    <hyperlink xmlns:r="http://schemas.openxmlformats.org/officeDocument/2006/relationships" ref="B30" location="?s=47" display="https://www.ic3.gov/Media/PDF/AnnualReport/2018State/StateReport.aspx#?s=47" r:id="rId24"/>
    <hyperlink xmlns:r="http://schemas.openxmlformats.org/officeDocument/2006/relationships" ref="B31" location="?s=47" display="https://www.ic3.gov/Media/PDF/AnnualReport/2018State/StateReport.aspx#?s=47" r:id="rId25"/>
    <hyperlink xmlns:r="http://schemas.openxmlformats.org/officeDocument/2006/relationships" ref="B32" location="?s=47" display="https://www.ic3.gov/Media/PDF/AnnualReport/2018State/StateReport.aspx#?s=47" r:id="rId26"/>
    <hyperlink xmlns:r="http://schemas.openxmlformats.org/officeDocument/2006/relationships" ref="B33" location="?s=47" display="https://www.ic3.gov/Media/PDF/AnnualReport/2018State/StateReport.aspx#?s=47" r:id="rId27"/>
    <hyperlink xmlns:r="http://schemas.openxmlformats.org/officeDocument/2006/relationships" ref="B34" location="?s=47" display="https://www.ic3.gov/Media/PDF/AnnualReport/2018State/StateReport.aspx#?s=47" r:id="rId28"/>
    <hyperlink xmlns:r="http://schemas.openxmlformats.org/officeDocument/2006/relationships" ref="B35" location="?s=47" display="https://www.ic3.gov/Media/PDF/AnnualReport/2018State/StateReport.aspx#?s=47" r:id="rId29"/>
    <hyperlink xmlns:r="http://schemas.openxmlformats.org/officeDocument/2006/relationships" ref="B36" location="?s=47" display="https://www.ic3.gov/Media/PDF/AnnualReport/2018State/StateReport.aspx#?s=47" r:id="rId30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4:P41"/>
  <sheetViews>
    <sheetView topLeftCell="A7" workbookViewId="0">
      <selection activeCell="F29" sqref="F29"/>
    </sheetView>
  </sheetViews>
  <sheetFormatPr baseColWidth="8" defaultRowHeight="14.4"/>
  <cols>
    <col width="70.109375" customWidth="1" min="2" max="2"/>
    <col width="27.5546875" bestFit="1" customWidth="1" min="3" max="3"/>
    <col width="17.6640625" customWidth="1" min="4" max="4"/>
    <col width="8.88671875" customWidth="1" min="5" max="5"/>
    <col width="24.6640625" customWidth="1" min="6" max="6"/>
    <col width="48.88671875" customWidth="1" min="7" max="7"/>
    <col width="41.88671875" customWidth="1" style="18" min="8" max="8"/>
    <col width="44" customWidth="1" style="19" min="9" max="9"/>
    <col width="56.21875" customWidth="1" min="10" max="10"/>
    <col width="34.21875" customWidth="1" style="8" min="11" max="13"/>
    <col width="44.6640625" customWidth="1" min="14" max="15"/>
    <col width="37.77734375" bestFit="1" customWidth="1" min="16" max="16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s="18" t="inlineStr">
        <is>
          <t>State Victim Loss</t>
        </is>
      </c>
      <c r="I4" s="19" t="inlineStr">
        <is>
          <t>Even Loss per State Victim Count</t>
        </is>
      </c>
      <c r="J4" t="inlineStr">
        <is>
          <t>Projected In-City Victim Loss</t>
        </is>
      </c>
      <c r="K4" s="8" t="inlineStr">
        <is>
          <t>State Subject (Perpetrator) Count</t>
        </is>
      </c>
      <c r="L4" s="8" t="inlineStr">
        <is>
          <t>Subject (Perpetrator) to State Population</t>
        </is>
      </c>
      <c r="M4" s="8" t="inlineStr">
        <is>
          <t>Estimated Subject to City Population</t>
        </is>
      </c>
      <c r="N4" t="inlineStr">
        <is>
          <t>State Subject Losses (Perpetrator gained X dollars)</t>
        </is>
      </c>
      <c r="O4" s="8" t="inlineStr">
        <is>
          <t>Even Loss per State Subject</t>
        </is>
      </c>
      <c r="P4" s="8" t="inlineStr">
        <is>
          <t xml:space="preserve">Estimated In-City Subject Losses (Perpetrator Take from Victim) </t>
        </is>
      </c>
    </row>
    <row r="5">
      <c r="B5" s="12" t="inlineStr">
        <is>
          <t>https://www2.census.gov/programs-surveys/popest/tables/2010-2019/state/totals/nst-est2019-01.xlsx</t>
        </is>
      </c>
      <c r="C5" t="inlineStr">
        <is>
          <t>TN Population in 2019</t>
        </is>
      </c>
      <c r="D5" t="inlineStr">
        <is>
          <t>Population Estimate</t>
        </is>
      </c>
      <c r="E5" s="15" t="n">
        <v>6829174</v>
      </c>
      <c r="F5" t="inlineStr">
        <is>
          <t>Raw Value</t>
        </is>
      </c>
      <c r="G5" t="inlineStr">
        <is>
          <t>(Victim Count/State Population ) * City Population</t>
        </is>
      </c>
      <c r="J5" t="inlineStr">
        <is>
          <t>Estimated In-City Victims * Even Loss per State Victim</t>
        </is>
      </c>
      <c r="P5" t="inlineStr">
        <is>
          <t>Subject to City * Even Loss per State Subject</t>
        </is>
      </c>
    </row>
    <row r="6" customFormat="1" s="2">
      <c r="B6" s="12" t="inlineStr">
        <is>
          <t>https://www2.census.gov/programs-surveys/popest/tables/2010-2019/cities/totals/SUB-IP-EST2019-ANNRES-47.xlsx</t>
        </is>
      </c>
      <c r="C6" t="inlineStr">
        <is>
          <t>Chattanooga Population in 2019</t>
        </is>
      </c>
      <c r="D6" t="inlineStr">
        <is>
          <t>Population Estimate</t>
        </is>
      </c>
      <c r="E6" s="13" t="n">
        <v>182799</v>
      </c>
      <c r="H6" s="18" t="n"/>
      <c r="I6" s="19" t="n"/>
      <c r="K6" s="8" t="n"/>
      <c r="L6" s="8" t="n"/>
      <c r="M6" s="8" t="n"/>
    </row>
    <row r="7" customFormat="1" s="2">
      <c r="B7" s="12" t="inlineStr">
        <is>
          <t>https://www.ic3.gov/Media/PDF/AnnualReport/2019State/StateReport.aspx#?s=47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>
        <v>213</v>
      </c>
      <c r="F7" s="3">
        <f>E7/E5</f>
        <v/>
      </c>
      <c r="G7">
        <f>ROUNDDOWN(F7*E6,0)</f>
        <v/>
      </c>
      <c r="H7" s="20" t="n">
        <v>1071731</v>
      </c>
      <c r="I7" s="19">
        <f>H7/E7</f>
        <v/>
      </c>
      <c r="J7" s="19">
        <f>I7*G7</f>
        <v/>
      </c>
      <c r="K7" s="8" t="n">
        <v>50</v>
      </c>
      <c r="L7" s="3">
        <f>K7/E5</f>
        <v/>
      </c>
      <c r="M7" s="8">
        <f>ROUNDDOWN(L7*E6,0)</f>
        <v/>
      </c>
      <c r="N7" s="20" t="n">
        <v>607608</v>
      </c>
      <c r="O7" s="21">
        <f>N7/K7</f>
        <v/>
      </c>
      <c r="P7" s="19">
        <f>M7*O7</f>
        <v/>
      </c>
    </row>
    <row r="8" customFormat="1" s="2">
      <c r="B8" s="12" t="inlineStr">
        <is>
          <t>https://www.ic3.gov/Media/PDF/AnnualReport/2019State/StateReport.aspx#?s=47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>
        <v>331</v>
      </c>
      <c r="F8" s="3">
        <f>E8/E5</f>
        <v/>
      </c>
      <c r="G8">
        <f>ROUNDDOWN(F8*E6,0)</f>
        <v/>
      </c>
      <c r="H8" s="20" t="n">
        <v>12938403</v>
      </c>
      <c r="I8" s="19">
        <f>H8/E8</f>
        <v/>
      </c>
      <c r="J8" s="19">
        <f>I8*G8</f>
        <v/>
      </c>
      <c r="K8" s="8" t="n">
        <v>60</v>
      </c>
      <c r="L8" s="3">
        <f>K8/E5</f>
        <v/>
      </c>
      <c r="M8" s="8">
        <f>ROUNDDOWN(L8*E6,0)</f>
        <v/>
      </c>
      <c r="N8" s="20" t="n">
        <v>7348472</v>
      </c>
      <c r="O8" s="21">
        <f>N8/K8</f>
        <v/>
      </c>
      <c r="P8" s="19">
        <f>M8*O8</f>
        <v/>
      </c>
    </row>
    <row r="9" customFormat="1" s="2">
      <c r="B9" s="12" t="inlineStr">
        <is>
          <t>https://www.ic3.gov/Media/PDF/AnnualReport/2019State/StateReport.aspx#?s=47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n"/>
      <c r="F9" s="3">
        <f>E9/E5</f>
        <v/>
      </c>
      <c r="G9">
        <f>ROUNDDOWN(F9*E6,0)</f>
        <v/>
      </c>
      <c r="H9" s="20" t="n"/>
      <c r="I9" s="19">
        <f>H9/E9</f>
        <v/>
      </c>
      <c r="J9" s="19">
        <f>I9*G9</f>
        <v/>
      </c>
      <c r="K9" s="8" t="n"/>
      <c r="L9" s="3">
        <f>K9/E5</f>
        <v/>
      </c>
      <c r="M9" s="8">
        <f>ROUNDDOWN(L9*E6,0)</f>
        <v/>
      </c>
      <c r="N9" s="21" t="n"/>
      <c r="O9" s="21">
        <f>N9/K9</f>
        <v/>
      </c>
      <c r="P9" s="19">
        <f>M9*O9</f>
        <v/>
      </c>
    </row>
    <row r="10" customFormat="1" s="2">
      <c r="B10" s="12" t="inlineStr">
        <is>
          <t>https://www.ic3.gov/Media/PDF/AnnualReport/2019State/StateReport.aspx#?s=47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>
        <v>293</v>
      </c>
      <c r="F10" s="3">
        <f>E10/E5</f>
        <v/>
      </c>
      <c r="G10">
        <f>ROUNDDOWN(F10*E6,0)</f>
        <v/>
      </c>
      <c r="H10" s="20" t="n">
        <v>4948521</v>
      </c>
      <c r="I10" s="19">
        <f>H10/E10</f>
        <v/>
      </c>
      <c r="J10" s="19">
        <f>I10*G10</f>
        <v/>
      </c>
      <c r="K10" s="8" t="n">
        <v>131</v>
      </c>
      <c r="L10" s="3">
        <f>K10/E5</f>
        <v/>
      </c>
      <c r="M10" s="8">
        <f>ROUNDDOWN(L10*E6,0)</f>
        <v/>
      </c>
      <c r="N10" s="20" t="n">
        <v>2571226</v>
      </c>
      <c r="O10" s="21">
        <f>N10/K10</f>
        <v/>
      </c>
      <c r="P10" s="19">
        <f>M10*O10</f>
        <v/>
      </c>
    </row>
    <row r="11" customFormat="1" s="2">
      <c r="B11" s="12" t="inlineStr">
        <is>
          <t>https://www.ic3.gov/Media/PDF/AnnualReport/2019State/StateReport.aspx#?s=47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n"/>
      <c r="F11" s="3">
        <f>E11/E5</f>
        <v/>
      </c>
      <c r="G11">
        <f>ROUNDDOWN(F11*E6,0)</f>
        <v/>
      </c>
      <c r="H11" s="22" t="n"/>
      <c r="I11" s="19">
        <f>H11/E11</f>
        <v/>
      </c>
      <c r="J11" s="19">
        <f>I11*G11</f>
        <v/>
      </c>
      <c r="K11" s="8" t="n"/>
      <c r="L11" s="3">
        <f>K11/E5</f>
        <v/>
      </c>
      <c r="M11" s="8">
        <f>ROUNDDOWN(L11*E6,0)</f>
        <v/>
      </c>
      <c r="N11" s="21" t="n"/>
      <c r="O11" s="21">
        <f>N11/K11</f>
        <v/>
      </c>
      <c r="P11" s="19">
        <f>M11*O11</f>
        <v/>
      </c>
    </row>
    <row r="12" customFormat="1" s="2">
      <c r="B12" s="12" t="inlineStr">
        <is>
          <t>https://www.ic3.gov/Media/PDF/AnnualReport/2019State/StateReport.aspx#?s=47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>
        <v>23</v>
      </c>
      <c r="F12" s="3">
        <f>E12/E5</f>
        <v/>
      </c>
      <c r="G12">
        <f>ROUNDDOWN(F12*E6,0)</f>
        <v/>
      </c>
      <c r="H12" s="18" t="n">
        <v>0</v>
      </c>
      <c r="I12" s="19">
        <f>H12/E12</f>
        <v/>
      </c>
      <c r="J12" s="19">
        <f>I12*G12</f>
        <v/>
      </c>
      <c r="K12" s="8" t="n">
        <v>5</v>
      </c>
      <c r="L12" s="3">
        <f>K12/E5</f>
        <v/>
      </c>
      <c r="M12" s="8">
        <f>ROUNDDOWN(L12*E6,0)</f>
        <v/>
      </c>
      <c r="N12" s="21" t="n">
        <v>0</v>
      </c>
      <c r="O12" s="21">
        <f>N12/K12</f>
        <v/>
      </c>
      <c r="P12" s="19">
        <f>M12*O12</f>
        <v/>
      </c>
    </row>
    <row r="13" customFormat="1" s="2">
      <c r="B13" s="12" t="inlineStr">
        <is>
          <t>https://www.ic3.gov/Media/PDF/AnnualReport/2019State/StateReport.aspx#?s=47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>
        <v>21</v>
      </c>
      <c r="F13" s="3">
        <f>E13/E5</f>
        <v/>
      </c>
      <c r="G13">
        <f>ROUNDDOWN(F13*E6,0)</f>
        <v/>
      </c>
      <c r="H13" s="20" t="n">
        <v>2572</v>
      </c>
      <c r="I13" s="19">
        <f>H13/E13</f>
        <v/>
      </c>
      <c r="J13" s="19">
        <f>I13*G13</f>
        <v/>
      </c>
      <c r="K13" s="8" t="n">
        <v>1</v>
      </c>
      <c r="L13" s="3">
        <f>K13/E5</f>
        <v/>
      </c>
      <c r="M13" s="8">
        <f>ROUNDDOWN(L13*E6,0)</f>
        <v/>
      </c>
      <c r="N13" s="21" t="n">
        <v>0</v>
      </c>
      <c r="O13" s="21">
        <f>N13/K13</f>
        <v/>
      </c>
      <c r="P13" s="19">
        <f>M13*O13</f>
        <v/>
      </c>
    </row>
    <row r="14" customFormat="1" s="2">
      <c r="B14" s="12" t="inlineStr">
        <is>
          <t>https://www.ic3.gov/Media/PDF/AnnualReport/2019State/StateReport.aspx#?s=47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>
        <v>208</v>
      </c>
      <c r="F14" s="3">
        <f>E14/E5</f>
        <v/>
      </c>
      <c r="G14">
        <f>ROUNDDOWN(F14*E6,0)</f>
        <v/>
      </c>
      <c r="H14" s="20" t="n">
        <v>394010</v>
      </c>
      <c r="I14" s="19">
        <f>H14/E14</f>
        <v/>
      </c>
      <c r="J14" s="19">
        <f>I14*G14</f>
        <v/>
      </c>
      <c r="K14" s="8" t="n">
        <v>64</v>
      </c>
      <c r="L14" s="3">
        <f>K14/E5</f>
        <v/>
      </c>
      <c r="M14" s="8">
        <f>ROUNDDOWN(L14*E6,0)</f>
        <v/>
      </c>
      <c r="N14" s="20" t="n">
        <v>208089</v>
      </c>
      <c r="O14" s="21">
        <f>N14/K14</f>
        <v/>
      </c>
      <c r="P14" s="19">
        <f>M14*O14</f>
        <v/>
      </c>
    </row>
    <row r="15" customFormat="1" s="2">
      <c r="B15" s="12" t="inlineStr">
        <is>
          <t>https://www.ic3.gov/Media/PDF/AnnualReport/2019State/StateReport.aspx#?s=47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>
        <v>725</v>
      </c>
      <c r="F15" s="3">
        <f>E15/E5</f>
        <v/>
      </c>
      <c r="G15">
        <f>ROUNDDOWN(F15*E6,0)</f>
        <v/>
      </c>
      <c r="H15" s="22" t="n">
        <v>629565</v>
      </c>
      <c r="I15" s="9" t="n"/>
      <c r="J15" s="19">
        <f>I15*G15</f>
        <v/>
      </c>
      <c r="K15" s="8" t="n">
        <v>93</v>
      </c>
      <c r="L15" s="3">
        <f>K15/E5</f>
        <v/>
      </c>
      <c r="M15" s="8">
        <f>ROUNDDOWN(L15*E6,0)</f>
        <v/>
      </c>
      <c r="N15" s="20" t="n">
        <v>87152</v>
      </c>
      <c r="O15" s="21">
        <f>N15/K15</f>
        <v/>
      </c>
      <c r="P15" s="19">
        <f>M15*O15</f>
        <v/>
      </c>
    </row>
    <row r="16" customFormat="1" s="2">
      <c r="B16" s="12" t="inlineStr">
        <is>
          <t>https://www.ic3.gov/Media/PDF/AnnualReport/2019State/StateReport.aspx#?s=47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>
        <v>227</v>
      </c>
      <c r="F16" s="3">
        <f>E16/E5</f>
        <v/>
      </c>
      <c r="G16">
        <f>ROUNDDOWN(F16*E6,0)</f>
        <v/>
      </c>
      <c r="H16" s="20" t="n">
        <v>555364</v>
      </c>
      <c r="I16" s="19">
        <f>H16/E16</f>
        <v/>
      </c>
      <c r="J16" s="19">
        <f>I16*G16</f>
        <v/>
      </c>
      <c r="K16" s="8" t="n">
        <v>29</v>
      </c>
      <c r="L16" s="3">
        <f>K16/E5</f>
        <v/>
      </c>
      <c r="M16" s="8">
        <f>ROUNDDOWN(L16*E6,0)</f>
        <v/>
      </c>
      <c r="N16" s="20" t="n">
        <v>83100</v>
      </c>
      <c r="O16" s="21">
        <f>N16/K16</f>
        <v/>
      </c>
      <c r="P16" s="19">
        <f>M16*O16</f>
        <v/>
      </c>
    </row>
    <row r="17" customFormat="1" s="2">
      <c r="B17" s="12" t="inlineStr">
        <is>
          <t>https://www.ic3.gov/Media/PDF/AnnualReport/2019State/StateReport.aspx#?s=47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n"/>
      <c r="F17" s="3">
        <f>E17/E5</f>
        <v/>
      </c>
      <c r="G17">
        <f>ROUNDDOWN(F17*E6,0)</f>
        <v/>
      </c>
      <c r="H17" s="20" t="n"/>
      <c r="I17" s="19">
        <f>H17/E17</f>
        <v/>
      </c>
      <c r="J17" s="19">
        <f>I17*G17</f>
        <v/>
      </c>
      <c r="K17" s="8" t="n"/>
      <c r="L17" s="3">
        <f>K17/E5</f>
        <v/>
      </c>
      <c r="M17" s="8">
        <f>ROUNDDOWN(L17*E6,0)</f>
        <v/>
      </c>
      <c r="N17" s="23" t="n"/>
      <c r="O17" s="21">
        <f>N17/K17</f>
        <v/>
      </c>
      <c r="P17" s="19">
        <f>M17*O17</f>
        <v/>
      </c>
    </row>
    <row r="18" customFormat="1" s="2">
      <c r="B18" s="12" t="inlineStr">
        <is>
          <t>https://www.ic3.gov/Media/PDF/AnnualReport/2019State/StateReport.aspx#?s=47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>
        <v>58</v>
      </c>
      <c r="F18" s="3">
        <f>E18/E5</f>
        <v/>
      </c>
      <c r="G18">
        <f>ROUNDDOWN(F18*E6,0)</f>
        <v/>
      </c>
      <c r="H18" s="20" t="n">
        <v>195407</v>
      </c>
      <c r="I18" s="19">
        <f>H18/E18</f>
        <v/>
      </c>
      <c r="J18" s="19">
        <f>I18*G18</f>
        <v/>
      </c>
      <c r="K18" s="8" t="n">
        <v>8</v>
      </c>
      <c r="L18" s="3">
        <f>K18/E5</f>
        <v/>
      </c>
      <c r="M18" s="8">
        <f>ROUNDDOWN(L18*E6,0)</f>
        <v/>
      </c>
      <c r="N18" s="20" t="n">
        <v>2925</v>
      </c>
      <c r="O18" s="21">
        <f>N18/K18</f>
        <v/>
      </c>
      <c r="P18" s="19">
        <f>M18*O18</f>
        <v/>
      </c>
    </row>
    <row r="19" customFormat="1" s="2">
      <c r="B19" s="12" t="inlineStr">
        <is>
          <t>https://www.ic3.gov/Media/PDF/AnnualReport/2019State/StateReport.aspx#?s=47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>
        <v>289</v>
      </c>
      <c r="F19" s="3">
        <f>E19/E5</f>
        <v/>
      </c>
      <c r="G19">
        <f>ROUNDDOWN(F19*E6,0)</f>
        <v/>
      </c>
      <c r="H19" s="20" t="n">
        <v>896835</v>
      </c>
      <c r="I19" s="19">
        <f>H19/E19</f>
        <v/>
      </c>
      <c r="J19" s="19">
        <f>I19*G19</f>
        <v/>
      </c>
      <c r="K19" s="8" t="n">
        <v>91</v>
      </c>
      <c r="L19" s="3">
        <f>K19/E5</f>
        <v/>
      </c>
      <c r="M19" s="8">
        <f>ROUNDDOWN(L19*E6,0)</f>
        <v/>
      </c>
      <c r="N19" s="20" t="n">
        <v>392223</v>
      </c>
      <c r="O19" s="21">
        <f>N19/K19</f>
        <v/>
      </c>
      <c r="P19" s="19">
        <f>M19*O19</f>
        <v/>
      </c>
    </row>
    <row r="20" customFormat="1" s="2">
      <c r="B20" s="12" t="inlineStr">
        <is>
          <t>https://www.ic3.gov/Media/PDF/AnnualReport/2019State/StateReport.aspx#?s=47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>
        <v>35</v>
      </c>
      <c r="F20" s="3">
        <f>E20/E5</f>
        <v/>
      </c>
      <c r="G20">
        <f>ROUNDDOWN(F20*E6,0)</f>
        <v/>
      </c>
      <c r="H20" s="20" t="n">
        <v>7667267</v>
      </c>
      <c r="I20" s="19">
        <f>H20/E20</f>
        <v/>
      </c>
      <c r="J20" s="19">
        <f>I20*G20</f>
        <v/>
      </c>
      <c r="K20" s="8" t="n">
        <v>25</v>
      </c>
      <c r="L20" s="3">
        <f>K20/E5</f>
        <v/>
      </c>
      <c r="M20" s="8">
        <f>ROUNDDOWN(L20*E6,0)</f>
        <v/>
      </c>
      <c r="N20" s="20" t="n">
        <v>515037</v>
      </c>
      <c r="O20" s="21">
        <f>N20/K20</f>
        <v/>
      </c>
      <c r="P20" s="19">
        <f>M20*O20</f>
        <v/>
      </c>
    </row>
    <row r="21" customFormat="1" s="2">
      <c r="B21" s="12" t="inlineStr">
        <is>
          <t>https://www.ic3.gov/Media/PDF/AnnualReport/2019State/StateReport.aspx#?s=47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>
        <v>113</v>
      </c>
      <c r="F21" s="3">
        <f>E21/E5</f>
        <v/>
      </c>
      <c r="G21">
        <f>ROUNDDOWN(F21*E6,0)</f>
        <v/>
      </c>
      <c r="H21" s="20" t="n">
        <v>595993</v>
      </c>
      <c r="I21" s="19">
        <f>H21/E21</f>
        <v/>
      </c>
      <c r="J21" s="19">
        <f>I21*G21</f>
        <v/>
      </c>
      <c r="K21" s="8" t="n">
        <v>18</v>
      </c>
      <c r="L21" s="3">
        <f>K21/E5</f>
        <v/>
      </c>
      <c r="M21" s="8">
        <f>ROUNDDOWN(L21*E6,0)</f>
        <v/>
      </c>
      <c r="N21" s="20" t="n">
        <v>1168782</v>
      </c>
      <c r="O21" s="21">
        <f>N21/K21</f>
        <v/>
      </c>
      <c r="P21" s="19">
        <f>M21*O21</f>
        <v/>
      </c>
    </row>
    <row r="22" customFormat="1" s="2">
      <c r="B22" s="12" t="inlineStr">
        <is>
          <t>https://www.ic3.gov/Media/PDF/AnnualReport/2019State/StateReport.aspx#?s=47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>
        <v>46</v>
      </c>
      <c r="F22" s="3">
        <f>E22/E5</f>
        <v/>
      </c>
      <c r="G22">
        <f>ROUNDDOWN(F22*E6,0)</f>
        <v/>
      </c>
      <c r="H22" s="20" t="n">
        <v>707</v>
      </c>
      <c r="I22" s="19">
        <f>H22/E22</f>
        <v/>
      </c>
      <c r="J22" s="19">
        <f>I22*G22</f>
        <v/>
      </c>
      <c r="K22" s="8" t="n">
        <v>5</v>
      </c>
      <c r="L22" s="3">
        <f>K22/E5</f>
        <v/>
      </c>
      <c r="M22" s="8">
        <f>ROUNDDOWN(L22*E6,0)</f>
        <v/>
      </c>
      <c r="N22" s="21" t="n">
        <v>0</v>
      </c>
      <c r="O22" s="21">
        <f>N22/K22</f>
        <v/>
      </c>
      <c r="P22" s="19">
        <f>M22*O22</f>
        <v/>
      </c>
    </row>
    <row r="23" customFormat="1" s="2">
      <c r="B23" s="12" t="inlineStr">
        <is>
          <t>https://www.ic3.gov/Media/PDF/AnnualReport/2019State/StateReport.aspx#?s=47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n"/>
      <c r="F23" s="3">
        <f>E23/E5</f>
        <v/>
      </c>
      <c r="G23">
        <f>ROUNDDOWN(F23*E6,0)</f>
        <v/>
      </c>
      <c r="H23" s="20" t="n"/>
      <c r="I23" s="19">
        <f>H23/E23</f>
        <v/>
      </c>
      <c r="J23" s="19">
        <f>I23*G23</f>
        <v/>
      </c>
      <c r="K23" s="8" t="n"/>
      <c r="L23" s="3">
        <f>K23/E5</f>
        <v/>
      </c>
      <c r="M23" s="8">
        <f>ROUNDDOWN(L23*E6,0)</f>
        <v/>
      </c>
      <c r="N23" s="21" t="n"/>
      <c r="O23" s="21">
        <f>N23/K23</f>
        <v/>
      </c>
      <c r="P23" s="19">
        <f>M23*O23</f>
        <v/>
      </c>
    </row>
    <row r="24" customFormat="1" s="2">
      <c r="B24" s="12" t="inlineStr">
        <is>
          <t>https://www.ic3.gov/Media/PDF/AnnualReport/2019State/StateReport.aspx#?s=47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n"/>
      <c r="F24" s="3">
        <f>E24/E5</f>
        <v/>
      </c>
      <c r="G24">
        <f>ROUNDDOWN(F24*E6,0)</f>
        <v/>
      </c>
      <c r="H24" s="20" t="n"/>
      <c r="I24" s="19">
        <f>H24/E24</f>
        <v/>
      </c>
      <c r="J24" s="19">
        <f>I24*G24</f>
        <v/>
      </c>
      <c r="K24" s="8" t="n"/>
      <c r="L24" s="3">
        <f>K24/E5</f>
        <v/>
      </c>
      <c r="M24" s="8">
        <f>ROUNDDOWN(L24*E6,0)</f>
        <v/>
      </c>
      <c r="N24" s="21" t="n"/>
      <c r="O24" s="21">
        <f>N24/K24</f>
        <v/>
      </c>
      <c r="P24" s="19">
        <f>M24*O24</f>
        <v/>
      </c>
    </row>
    <row r="25" customFormat="1" s="2">
      <c r="B25" s="12" t="inlineStr">
        <is>
          <t>https://www.ic3.gov/Media/PDF/AnnualReport/2019State/StateReport.aspx#?s=47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>
        <v>629</v>
      </c>
      <c r="F25" s="3">
        <f>E25/E5</f>
        <v/>
      </c>
      <c r="G25">
        <f>ROUNDDOWN(F25*E6,0)</f>
        <v/>
      </c>
      <c r="H25" s="20" t="n">
        <v>0</v>
      </c>
      <c r="I25" s="19">
        <f>H25/E25</f>
        <v/>
      </c>
      <c r="J25" s="19">
        <f>I25*G25</f>
        <v/>
      </c>
      <c r="K25" s="8" t="n">
        <v>746</v>
      </c>
      <c r="L25" s="3">
        <f>K25/E5</f>
        <v/>
      </c>
      <c r="M25" s="8">
        <f>ROUNDDOWN(L25*E6,0)</f>
        <v/>
      </c>
      <c r="N25" s="21" t="n">
        <v>0</v>
      </c>
      <c r="O25" s="21">
        <f>N25/K25</f>
        <v/>
      </c>
      <c r="P25" s="19">
        <f>M25*O25</f>
        <v/>
      </c>
    </row>
    <row r="26" customFormat="1" s="2">
      <c r="B26" s="12" t="inlineStr">
        <is>
          <t>https://www.ic3.gov/Media/PDF/AnnualReport/2019State/StateReport.aspx#?s=47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>
        <v>1067</v>
      </c>
      <c r="F26" s="3">
        <f>E26/E5</f>
        <v/>
      </c>
      <c r="G26">
        <f>ROUNDDOWN(F26*E6,0)</f>
        <v/>
      </c>
      <c r="H26" s="20" t="n">
        <v>1641120</v>
      </c>
      <c r="I26" s="19">
        <f>H26/E26</f>
        <v/>
      </c>
      <c r="J26" s="19">
        <f>I26*G26</f>
        <v/>
      </c>
      <c r="K26" s="8" t="n">
        <v>404</v>
      </c>
      <c r="L26" s="3">
        <f>K26/E5</f>
        <v/>
      </c>
      <c r="M26" s="8">
        <f>ROUNDDOWN(L26*E6,0)</f>
        <v/>
      </c>
      <c r="N26" s="20" t="n">
        <v>807007</v>
      </c>
      <c r="O26" s="21">
        <f>N26/K26</f>
        <v/>
      </c>
      <c r="P26" s="19">
        <f>M26*O26</f>
        <v/>
      </c>
    </row>
    <row r="27" customFormat="1" s="2">
      <c r="B27" s="12" t="inlineStr">
        <is>
          <t>https://www.ic3.gov/Media/PDF/AnnualReport/2019State/StateReport.aspx#?s=47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>
        <v>83</v>
      </c>
      <c r="F27" s="3">
        <f>E27/E5</f>
        <v/>
      </c>
      <c r="G27">
        <f>ROUNDDOWN(F27*E6,0)</f>
        <v/>
      </c>
      <c r="H27" s="20" t="n">
        <v>629450</v>
      </c>
      <c r="I27" s="19">
        <f>H27/E27</f>
        <v/>
      </c>
      <c r="J27" s="19">
        <f>I27*G27</f>
        <v/>
      </c>
      <c r="K27" s="8" t="n">
        <v>34</v>
      </c>
      <c r="L27" s="3">
        <f>K27/E5</f>
        <v/>
      </c>
      <c r="M27" s="8">
        <f>ROUNDDOWN(L27*E6,0)</f>
        <v/>
      </c>
      <c r="N27" s="20" t="n">
        <v>827641</v>
      </c>
      <c r="O27" s="21">
        <f>N27/K27</f>
        <v/>
      </c>
      <c r="P27" s="19">
        <f>M27*O27</f>
        <v/>
      </c>
    </row>
    <row r="28" customFormat="1" s="2">
      <c r="B28" s="12" t="inlineStr">
        <is>
          <t>https://www.ic3.gov/Media/PDF/AnnualReport/2019State/StateReport.aspx#?s=47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>
        <v>222</v>
      </c>
      <c r="F28" s="3">
        <f>E28/E5</f>
        <v/>
      </c>
      <c r="G28">
        <f>ROUNDDOWN(F28*E6,0)</f>
        <v/>
      </c>
      <c r="H28" s="20" t="n">
        <v>826044</v>
      </c>
      <c r="I28" s="19">
        <f>H28/E28</f>
        <v/>
      </c>
      <c r="J28" s="19">
        <f>I28*G28</f>
        <v/>
      </c>
      <c r="K28" s="8" t="n">
        <v>97</v>
      </c>
      <c r="L28" s="3">
        <f>K28/E5</f>
        <v/>
      </c>
      <c r="M28" s="8">
        <f>ROUNDDOWN(L28*E6,0)</f>
        <v/>
      </c>
      <c r="N28" s="20" t="n">
        <v>428273</v>
      </c>
      <c r="O28" s="21">
        <f>N28/K28</f>
        <v/>
      </c>
      <c r="P28" s="19">
        <f>M28*O28</f>
        <v/>
      </c>
    </row>
    <row r="29" customFormat="1" s="2">
      <c r="B29" s="12" t="inlineStr">
        <is>
          <t>https://www.ic3.gov/Media/PDF/AnnualReport/2019State/StateReport.aspx#?s=47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>
        <v>507</v>
      </c>
      <c r="F29" s="3">
        <f>E29/E5</f>
        <v/>
      </c>
      <c r="G29">
        <f>ROUNDDOWN(F29*E6,0)</f>
        <v/>
      </c>
      <c r="H29" s="20" t="n">
        <v>750727</v>
      </c>
      <c r="I29" s="19">
        <f>H29/E29</f>
        <v/>
      </c>
      <c r="J29" s="19">
        <f>I29*G29</f>
        <v/>
      </c>
      <c r="K29" s="8" t="n">
        <v>147</v>
      </c>
      <c r="L29" s="3">
        <f>K29/E5</f>
        <v/>
      </c>
      <c r="M29" s="8">
        <f>ROUNDDOWN(L29*E6,0)</f>
        <v/>
      </c>
      <c r="N29" s="20" t="n">
        <v>278229</v>
      </c>
      <c r="O29" s="21">
        <f>N29/K29</f>
        <v/>
      </c>
      <c r="P29" s="19">
        <f>M29*O29</f>
        <v/>
      </c>
    </row>
    <row r="30" customFormat="1" s="2">
      <c r="B30" s="12" t="inlineStr">
        <is>
          <t>https://www.ic3.gov/Media/PDF/AnnualReport/2019State/StateReport.aspx#?s=47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>
        <v>310</v>
      </c>
      <c r="F30" s="3">
        <f>E30/E5</f>
        <v/>
      </c>
      <c r="G30">
        <f>ROUNDDOWN(F30*E6,0)</f>
        <v/>
      </c>
      <c r="H30" s="20" t="n">
        <v>127466</v>
      </c>
      <c r="I30" s="19">
        <f>H30/E30</f>
        <v/>
      </c>
      <c r="J30" s="19">
        <f>I30*G30</f>
        <v/>
      </c>
      <c r="K30" s="8" t="n">
        <v>51</v>
      </c>
      <c r="L30" s="3">
        <f>K30/E5</f>
        <v/>
      </c>
      <c r="M30" s="8">
        <f>ROUNDDOWN(L30*E6,0)</f>
        <v/>
      </c>
      <c r="N30" s="20" t="n">
        <v>57192</v>
      </c>
      <c r="O30" s="21">
        <f>N30/K30</f>
        <v/>
      </c>
      <c r="P30" s="19">
        <f>M30*O30</f>
        <v/>
      </c>
    </row>
    <row r="31" customFormat="1" s="2">
      <c r="B31" s="12" t="inlineStr">
        <is>
          <t>https://www.ic3.gov/Media/PDF/AnnualReport/2019State/StateReport.aspx#?s=47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>
        <v>34</v>
      </c>
      <c r="F31" s="3">
        <f>E31/E5</f>
        <v/>
      </c>
      <c r="G31">
        <f>ROUNDDOWN(F31*E6,0)</f>
        <v/>
      </c>
      <c r="H31" s="20" t="n">
        <v>16325</v>
      </c>
      <c r="I31" s="19">
        <f>H31/E31</f>
        <v/>
      </c>
      <c r="J31" s="19">
        <f>I31*G31</f>
        <v/>
      </c>
      <c r="K31" s="8" t="n">
        <v>4</v>
      </c>
      <c r="L31" s="3">
        <f>K31/E5</f>
        <v/>
      </c>
      <c r="M31" s="8">
        <f>ROUNDDOWN(L31*E6,0)</f>
        <v/>
      </c>
      <c r="N31" s="20" t="n">
        <v>200</v>
      </c>
      <c r="O31" s="21">
        <f>N31/K31</f>
        <v/>
      </c>
      <c r="P31" s="19">
        <f>M31*O31</f>
        <v/>
      </c>
    </row>
    <row r="32" customFormat="1" s="2">
      <c r="B32" s="12" t="inlineStr">
        <is>
          <t>https://www.ic3.gov/Media/PDF/AnnualReport/2019State/StateReport.aspx#?s=47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>
        <v>144</v>
      </c>
      <c r="F32" s="3">
        <f>E32/E5</f>
        <v/>
      </c>
      <c r="G32">
        <f>ROUNDDOWN(F32*E6,0)</f>
        <v/>
      </c>
      <c r="H32" s="20" t="n">
        <v>1090182</v>
      </c>
      <c r="I32" s="19">
        <f>H32/E32</f>
        <v/>
      </c>
      <c r="J32" s="19">
        <f>I32*G32</f>
        <v/>
      </c>
      <c r="K32" s="8" t="n">
        <v>76</v>
      </c>
      <c r="L32" s="3">
        <f>K32/E5</f>
        <v/>
      </c>
      <c r="M32" s="8">
        <f>ROUNDDOWN(L32*E6,0)</f>
        <v/>
      </c>
      <c r="N32" s="20" t="n">
        <v>4483062</v>
      </c>
      <c r="O32" s="21">
        <f>N32/K32</f>
        <v/>
      </c>
      <c r="P32" s="19">
        <f>M32*O32</f>
        <v/>
      </c>
    </row>
    <row r="33" customFormat="1" s="2">
      <c r="B33" s="12" t="inlineStr">
        <is>
          <t>https://www.ic3.gov/Media/PDF/AnnualReport/2019State/StateReport.aspx#?s=47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n"/>
      <c r="F33" s="3">
        <f>E33/E5</f>
        <v/>
      </c>
      <c r="G33">
        <f>ROUNDDOWN(F33*E6,0)</f>
        <v/>
      </c>
      <c r="H33" s="20" t="n"/>
      <c r="I33" s="19">
        <f>H33/E33</f>
        <v/>
      </c>
      <c r="J33" s="19">
        <f>I33*G33</f>
        <v/>
      </c>
      <c r="K33" s="8" t="n"/>
      <c r="L33" s="3">
        <f>K33/E5</f>
        <v/>
      </c>
      <c r="M33" s="8">
        <f>ROUNDDOWN(L33*E6,0)</f>
        <v/>
      </c>
      <c r="N33" s="20" t="n"/>
      <c r="O33" s="21">
        <f>N33/K33</f>
        <v/>
      </c>
      <c r="P33" s="19">
        <f>M33*O33</f>
        <v/>
      </c>
    </row>
    <row r="34" customFormat="1" s="2">
      <c r="B34" s="12" t="inlineStr">
        <is>
          <t>https://www.ic3.gov/Media/PDF/AnnualReport/2019State/StateReport.aspx#?s=47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>
        <v>343</v>
      </c>
      <c r="F34" s="3">
        <f>E34/E5</f>
        <v/>
      </c>
      <c r="G34">
        <f>ROUNDDOWN(F34*E6,0)</f>
        <v/>
      </c>
      <c r="H34" s="20" t="n">
        <v>3477664</v>
      </c>
      <c r="I34" s="19">
        <f>H34/E34</f>
        <v/>
      </c>
      <c r="J34" s="19">
        <f>I34*G34</f>
        <v/>
      </c>
      <c r="K34" s="8" t="n">
        <v>72</v>
      </c>
      <c r="L34" s="3">
        <f>K34/E5</f>
        <v/>
      </c>
      <c r="M34" s="8">
        <f>ROUNDDOWN(L34*E6,0)</f>
        <v/>
      </c>
      <c r="N34" s="20" t="n">
        <v>689474</v>
      </c>
      <c r="O34" s="21">
        <f>N34/K34</f>
        <v/>
      </c>
      <c r="P34" s="19">
        <f>M34*O34</f>
        <v/>
      </c>
    </row>
    <row r="35" customFormat="1" s="2">
      <c r="B35" s="12" t="inlineStr">
        <is>
          <t>https://www.ic3.gov/Media/PDF/AnnualReport/2019State/StateReport.aspx#?s=47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>
        <v>232</v>
      </c>
      <c r="F35" s="3">
        <f>E35/E5</f>
        <v/>
      </c>
      <c r="G35">
        <f>ROUNDDOWN(F35*E6,0)</f>
        <v/>
      </c>
      <c r="H35" s="20" t="n">
        <v>729247</v>
      </c>
      <c r="I35" s="19">
        <f>H35/E35</f>
        <v/>
      </c>
      <c r="J35" s="19">
        <f>I35*G35</f>
        <v/>
      </c>
      <c r="K35" s="8" t="n">
        <v>29</v>
      </c>
      <c r="L35" s="3">
        <f>K35/E5</f>
        <v/>
      </c>
      <c r="M35" s="8">
        <f>ROUNDDOWN(L35*E6,0)</f>
        <v/>
      </c>
      <c r="N35" s="20" t="n">
        <v>49275</v>
      </c>
      <c r="O35" s="21">
        <f>N35/K35</f>
        <v/>
      </c>
      <c r="P35" s="19">
        <f>M35*O35</f>
        <v/>
      </c>
    </row>
    <row r="36" customFormat="1" s="2">
      <c r="B36" s="12" t="inlineStr">
        <is>
          <t>https://www.ic3.gov/Media/PDF/AnnualReport/2019State/StateReport.aspx#?s=47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>
        <v>199</v>
      </c>
      <c r="F36" s="3">
        <f>E36/E5</f>
        <v/>
      </c>
      <c r="G36">
        <f>ROUNDDOWN(F36*E6,0)</f>
        <v/>
      </c>
      <c r="H36" s="20" t="n">
        <v>18762</v>
      </c>
      <c r="I36" s="19">
        <f>H36/E36</f>
        <v/>
      </c>
      <c r="J36" s="19">
        <f>I36*G36</f>
        <v/>
      </c>
      <c r="K36" s="8" t="n">
        <v>120</v>
      </c>
      <c r="L36" s="3">
        <f>K36/E5</f>
        <v/>
      </c>
      <c r="M36" s="8">
        <f>ROUNDDOWN(L36*E6,0)</f>
        <v/>
      </c>
      <c r="N36" s="22" t="n">
        <v>119327</v>
      </c>
      <c r="O36" s="21">
        <f>N36/K36</f>
        <v/>
      </c>
      <c r="P36" s="19">
        <f>M36*O36</f>
        <v/>
      </c>
    </row>
    <row r="37">
      <c r="J37" s="19">
        <f>I37*G37</f>
        <v/>
      </c>
      <c r="L37" s="3" t="n"/>
      <c r="M37" s="3" t="n"/>
      <c r="N37" s="21" t="n"/>
      <c r="O37" s="21" t="n"/>
    </row>
    <row r="38">
      <c r="E38" s="1">
        <f>SUM(E7:E36)</f>
        <v/>
      </c>
      <c r="G38">
        <f>SUM(G8:G36)</f>
        <v/>
      </c>
      <c r="I38" s="19">
        <f>H38/E38</f>
        <v/>
      </c>
      <c r="J38" s="19">
        <f>I38*G38</f>
        <v/>
      </c>
      <c r="L38" s="3" t="n"/>
      <c r="M38" s="3" t="n"/>
      <c r="N38" s="21" t="n"/>
      <c r="O38" s="21" t="n"/>
    </row>
    <row r="40">
      <c r="C40" t="inlineStr">
        <is>
          <t>Stalking/Harassment and Threats of violence were combined with Terrorism</t>
        </is>
      </c>
    </row>
    <row r="41">
      <c r="C41" t="inlineStr">
        <is>
          <t>Shown here as Threats of Violence, as with others.</t>
        </is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location="?s=47" r:id="rId3"/>
    <hyperlink xmlns:r="http://schemas.openxmlformats.org/officeDocument/2006/relationships" ref="B8" location="?s=47" display="https://www.ic3.gov/Media/PDF/AnnualReport/2019State/StateReport.aspx#?s=47" r:id="rId4"/>
    <hyperlink xmlns:r="http://schemas.openxmlformats.org/officeDocument/2006/relationships" ref="B9" location="?s=47" display="https://www.ic3.gov/Media/PDF/AnnualReport/2019State/StateReport.aspx#?s=47" r:id="rId5"/>
    <hyperlink xmlns:r="http://schemas.openxmlformats.org/officeDocument/2006/relationships" ref="B10" location="?s=47" display="https://www.ic3.gov/Media/PDF/AnnualReport/2019State/StateReport.aspx#?s=47" r:id="rId6"/>
    <hyperlink xmlns:r="http://schemas.openxmlformats.org/officeDocument/2006/relationships" ref="B11" location="?s=47" display="https://www.ic3.gov/Media/PDF/AnnualReport/2019State/StateReport.aspx#?s=47" r:id="rId7"/>
    <hyperlink xmlns:r="http://schemas.openxmlformats.org/officeDocument/2006/relationships" ref="B12" location="?s=47" display="https://www.ic3.gov/Media/PDF/AnnualReport/2019State/StateReport.aspx#?s=47" r:id="rId8"/>
    <hyperlink xmlns:r="http://schemas.openxmlformats.org/officeDocument/2006/relationships" ref="B13" location="?s=47" display="https://www.ic3.gov/Media/PDF/AnnualReport/2019State/StateReport.aspx#?s=47" r:id="rId9"/>
    <hyperlink xmlns:r="http://schemas.openxmlformats.org/officeDocument/2006/relationships" ref="B14" location="?s=47" display="https://www.ic3.gov/Media/PDF/AnnualReport/2019State/StateReport.aspx#?s=47" r:id="rId10"/>
    <hyperlink xmlns:r="http://schemas.openxmlformats.org/officeDocument/2006/relationships" ref="B15" location="?s=47" display="https://www.ic3.gov/Media/PDF/AnnualReport/2019State/StateReport.aspx#?s=47" r:id="rId11"/>
    <hyperlink xmlns:r="http://schemas.openxmlformats.org/officeDocument/2006/relationships" ref="B16" location="?s=47" display="https://www.ic3.gov/Media/PDF/AnnualReport/2019State/StateReport.aspx#?s=47" r:id="rId12"/>
    <hyperlink xmlns:r="http://schemas.openxmlformats.org/officeDocument/2006/relationships" ref="B17" location="?s=47" display="https://www.ic3.gov/Media/PDF/AnnualReport/2019State/StateReport.aspx#?s=47" r:id="rId13"/>
    <hyperlink xmlns:r="http://schemas.openxmlformats.org/officeDocument/2006/relationships" ref="B18" location="?s=47" display="https://www.ic3.gov/Media/PDF/AnnualReport/2019State/StateReport.aspx#?s=47" r:id="rId14"/>
    <hyperlink xmlns:r="http://schemas.openxmlformats.org/officeDocument/2006/relationships" ref="B19" location="?s=47" display="https://www.ic3.gov/Media/PDF/AnnualReport/2019State/StateReport.aspx#?s=47" r:id="rId15"/>
    <hyperlink xmlns:r="http://schemas.openxmlformats.org/officeDocument/2006/relationships" ref="B20" location="?s=47" display="https://www.ic3.gov/Media/PDF/AnnualReport/2019State/StateReport.aspx#?s=47" r:id="rId16"/>
    <hyperlink xmlns:r="http://schemas.openxmlformats.org/officeDocument/2006/relationships" ref="B21" location="?s=47" display="https://www.ic3.gov/Media/PDF/AnnualReport/2019State/StateReport.aspx#?s=47" r:id="rId17"/>
    <hyperlink xmlns:r="http://schemas.openxmlformats.org/officeDocument/2006/relationships" ref="B22" location="?s=47" display="https://www.ic3.gov/Media/PDF/AnnualReport/2019State/StateReport.aspx#?s=47" r:id="rId18"/>
    <hyperlink xmlns:r="http://schemas.openxmlformats.org/officeDocument/2006/relationships" ref="B23" location="?s=47" display="https://www.ic3.gov/Media/PDF/AnnualReport/2019State/StateReport.aspx#?s=47" r:id="rId19"/>
    <hyperlink xmlns:r="http://schemas.openxmlformats.org/officeDocument/2006/relationships" ref="B24" location="?s=47" display="https://www.ic3.gov/Media/PDF/AnnualReport/2019State/StateReport.aspx#?s=47" r:id="rId20"/>
    <hyperlink xmlns:r="http://schemas.openxmlformats.org/officeDocument/2006/relationships" ref="B25" location="?s=47" display="https://www.ic3.gov/Media/PDF/AnnualReport/2019State/StateReport.aspx#?s=47" r:id="rId21"/>
    <hyperlink xmlns:r="http://schemas.openxmlformats.org/officeDocument/2006/relationships" ref="B26" location="?s=47" display="https://www.ic3.gov/Media/PDF/AnnualReport/2019State/StateReport.aspx#?s=47" r:id="rId22"/>
    <hyperlink xmlns:r="http://schemas.openxmlformats.org/officeDocument/2006/relationships" ref="B27" location="?s=47" display="https://www.ic3.gov/Media/PDF/AnnualReport/2019State/StateReport.aspx#?s=47" r:id="rId23"/>
    <hyperlink xmlns:r="http://schemas.openxmlformats.org/officeDocument/2006/relationships" ref="B28" location="?s=47" display="https://www.ic3.gov/Media/PDF/AnnualReport/2019State/StateReport.aspx#?s=47" r:id="rId24"/>
    <hyperlink xmlns:r="http://schemas.openxmlformats.org/officeDocument/2006/relationships" ref="B29" location="?s=47" display="https://www.ic3.gov/Media/PDF/AnnualReport/2019State/StateReport.aspx#?s=47" r:id="rId25"/>
    <hyperlink xmlns:r="http://schemas.openxmlformats.org/officeDocument/2006/relationships" ref="B30" location="?s=47" display="https://www.ic3.gov/Media/PDF/AnnualReport/2019State/StateReport.aspx#?s=47" r:id="rId26"/>
    <hyperlink xmlns:r="http://schemas.openxmlformats.org/officeDocument/2006/relationships" ref="B31" location="?s=47" display="https://www.ic3.gov/Media/PDF/AnnualReport/2019State/StateReport.aspx#?s=47" r:id="rId27"/>
    <hyperlink xmlns:r="http://schemas.openxmlformats.org/officeDocument/2006/relationships" ref="B32" location="?s=47" display="https://www.ic3.gov/Media/PDF/AnnualReport/2019State/StateReport.aspx#?s=47" r:id="rId28"/>
    <hyperlink xmlns:r="http://schemas.openxmlformats.org/officeDocument/2006/relationships" ref="B33" location="?s=47" display="https://www.ic3.gov/Media/PDF/AnnualReport/2019State/StateReport.aspx#?s=47" r:id="rId29"/>
    <hyperlink xmlns:r="http://schemas.openxmlformats.org/officeDocument/2006/relationships" ref="B34" location="?s=47" display="https://www.ic3.gov/Media/PDF/AnnualReport/2019State/StateReport.aspx#?s=47" r:id="rId30"/>
    <hyperlink xmlns:r="http://schemas.openxmlformats.org/officeDocument/2006/relationships" ref="B35" location="?s=47" display="https://www.ic3.gov/Media/PDF/AnnualReport/2019State/StateReport.aspx#?s=47" r:id="rId31"/>
    <hyperlink xmlns:r="http://schemas.openxmlformats.org/officeDocument/2006/relationships" ref="B36" location="?s=47" display="https://www.ic3.gov/Media/PDF/AnnualReport/2019State/StateReport.aspx#?s=47" r:id="rId32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4:P43"/>
  <sheetViews>
    <sheetView topLeftCell="B16" workbookViewId="0">
      <selection activeCell="F29" sqref="F29"/>
    </sheetView>
  </sheetViews>
  <sheetFormatPr baseColWidth="8" defaultRowHeight="14.4"/>
  <cols>
    <col width="70.109375" customWidth="1" min="2" max="2"/>
    <col width="27.5546875" bestFit="1" customWidth="1" min="3" max="3"/>
    <col width="17.6640625" customWidth="1" min="4" max="4"/>
    <col width="8.88671875" customWidth="1" min="5" max="5"/>
    <col width="24.6640625" customWidth="1" min="6" max="6"/>
    <col width="48.88671875" customWidth="1" min="7" max="7"/>
    <col width="41.88671875" customWidth="1" style="18" min="8" max="8"/>
    <col width="44" customWidth="1" style="19" min="9" max="9"/>
    <col width="56.21875" customWidth="1" min="10" max="10"/>
    <col width="34.21875" customWidth="1" style="8" min="11" max="13"/>
    <col width="44.6640625" customWidth="1" min="14" max="15"/>
    <col width="37.77734375" bestFit="1" customWidth="1" min="16" max="16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s="18" t="inlineStr">
        <is>
          <t>State Victim Loss</t>
        </is>
      </c>
      <c r="I4" s="19" t="inlineStr">
        <is>
          <t>Even Loss per State Victim Count</t>
        </is>
      </c>
      <c r="J4" t="inlineStr">
        <is>
          <t>Projected In-City Victim Loss</t>
        </is>
      </c>
      <c r="K4" s="8" t="inlineStr">
        <is>
          <t>State Subject (Perpetrator) Count</t>
        </is>
      </c>
      <c r="L4" s="8" t="inlineStr">
        <is>
          <t>Subject (Perpetrator) to State Population</t>
        </is>
      </c>
      <c r="M4" s="8" t="inlineStr">
        <is>
          <t>Estimated Subject to City Population</t>
        </is>
      </c>
      <c r="N4" t="inlineStr">
        <is>
          <t>State Subject Losses (Perpetrator gained X dollars)</t>
        </is>
      </c>
      <c r="O4" s="8" t="inlineStr">
        <is>
          <t>Even Loss per State Subject</t>
        </is>
      </c>
      <c r="P4" s="8" t="inlineStr">
        <is>
          <t xml:space="preserve">Estimated In-City Subject Losses (Perpetrator Take from Victim) </t>
        </is>
      </c>
    </row>
    <row r="5">
      <c r="B5" s="12" t="inlineStr">
        <is>
          <t>https://www2.census.gov/programs-surveys/popest/datasets/2020-2022/state/totals/NST-EST2022-POPCHG2020_2022.csv</t>
        </is>
      </c>
      <c r="C5" t="inlineStr">
        <is>
          <t>TN Population in 2020</t>
        </is>
      </c>
      <c r="D5" t="inlineStr">
        <is>
          <t>Population Estimate</t>
        </is>
      </c>
      <c r="E5" s="1" t="n">
        <v>6925619</v>
      </c>
      <c r="F5" t="inlineStr">
        <is>
          <t>Raw Value</t>
        </is>
      </c>
      <c r="G5" t="inlineStr">
        <is>
          <t>(Victim Count/State Population ) * City Population</t>
        </is>
      </c>
      <c r="J5" t="inlineStr">
        <is>
          <t>Estimated In-City Victims * Even Loss per State Victim</t>
        </is>
      </c>
      <c r="P5" t="inlineStr">
        <is>
          <t>Subject to City * Even Loss per State Subject</t>
        </is>
      </c>
    </row>
    <row r="6" customFormat="1" s="2">
      <c r="B6" s="14" t="inlineStr">
        <is>
          <t>https://www.census.gov/data/tables/time-series/demo/popest/2020s-total-cities-and-towns.html</t>
        </is>
      </c>
      <c r="C6" t="inlineStr">
        <is>
          <t>Chattanooga Population in 2020</t>
        </is>
      </c>
      <c r="D6" t="inlineStr">
        <is>
          <t>Population Estimate</t>
        </is>
      </c>
      <c r="E6" s="13" t="n">
        <v>181560</v>
      </c>
      <c r="H6" s="18" t="n"/>
      <c r="I6" s="19" t="n"/>
      <c r="K6" s="8" t="n"/>
      <c r="L6" s="8" t="n"/>
      <c r="M6" s="8" t="n"/>
    </row>
    <row r="7" customFormat="1" s="2">
      <c r="B7" s="12" t="inlineStr">
        <is>
          <t>https://www.ic3.gov/Media/PDF/AnnualReport/2020State/StateReport.aspx#?s=47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>
        <v>219</v>
      </c>
      <c r="F7" s="3">
        <f>E7/E5</f>
        <v/>
      </c>
      <c r="G7">
        <f>ROUNDDOWN(F7*E6,0)</f>
        <v/>
      </c>
      <c r="H7" s="20" t="n">
        <v>563344</v>
      </c>
      <c r="I7" s="19">
        <f>H7/E7</f>
        <v/>
      </c>
      <c r="J7" s="19">
        <f>I7*G7</f>
        <v/>
      </c>
      <c r="K7" s="8" t="n">
        <v>57</v>
      </c>
      <c r="L7" s="3">
        <f>K7/E5</f>
        <v/>
      </c>
      <c r="M7" s="8">
        <f>ROUNDDOWN(L7*E6,0)</f>
        <v/>
      </c>
      <c r="N7" s="20" t="n">
        <v>147490</v>
      </c>
      <c r="O7" s="21">
        <f>N7/K7</f>
        <v/>
      </c>
      <c r="P7" s="19">
        <f>M7*O7</f>
        <v/>
      </c>
    </row>
    <row r="8" customFormat="1" s="2">
      <c r="B8" s="12" t="inlineStr">
        <is>
          <t>https://www.ic3.gov/Media/PDF/AnnualReport/2020State/StateReport.aspx#?s=47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>
        <v>249</v>
      </c>
      <c r="F8" s="3">
        <f>E8/E5</f>
        <v/>
      </c>
      <c r="G8">
        <f>ROUNDDOWN(F8*E6,0)</f>
        <v/>
      </c>
      <c r="H8" s="20" t="n">
        <v>20831147</v>
      </c>
      <c r="I8" s="19">
        <f>H8/E8</f>
        <v/>
      </c>
      <c r="J8" s="19">
        <f>I8*G8</f>
        <v/>
      </c>
      <c r="K8" s="8" t="n">
        <v>41</v>
      </c>
      <c r="L8" s="3">
        <f>K8/E5</f>
        <v/>
      </c>
      <c r="M8" s="8">
        <f>ROUNDDOWN(L8*E6,0)</f>
        <v/>
      </c>
      <c r="N8" s="20" t="n">
        <v>3163786</v>
      </c>
      <c r="O8" s="21">
        <f>N8/K8</f>
        <v/>
      </c>
      <c r="P8" s="19">
        <f>M8*O8</f>
        <v/>
      </c>
    </row>
    <row r="9" customFormat="1" s="2">
      <c r="B9" s="12" t="inlineStr">
        <is>
          <t>https://www.ic3.gov/Media/PDF/AnnualReport/2020State/StateReport.aspx#?s=47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inlineStr">
        <is>
          <t>NO MATCH</t>
        </is>
      </c>
      <c r="F9" s="3">
        <f>E9/E5</f>
        <v/>
      </c>
      <c r="G9">
        <f>ROUNDDOWN(F9*E6,0)</f>
        <v/>
      </c>
      <c r="H9" s="20" t="n"/>
      <c r="I9" s="19">
        <f>H9/E9</f>
        <v/>
      </c>
      <c r="J9" s="19">
        <f>I9*G9</f>
        <v/>
      </c>
      <c r="K9" s="8" t="n"/>
      <c r="L9" s="3">
        <f>K9/E5</f>
        <v/>
      </c>
      <c r="M9" s="8">
        <f>ROUNDDOWN(L9*E6,0)</f>
        <v/>
      </c>
      <c r="N9" s="21" t="n"/>
      <c r="O9" s="21">
        <f>N9/K9</f>
        <v/>
      </c>
      <c r="P9" s="19">
        <f>M9*O9</f>
        <v/>
      </c>
    </row>
    <row r="10" customFormat="1" s="2">
      <c r="B10" s="12" t="inlineStr">
        <is>
          <t>https://www.ic3.gov/Media/PDF/AnnualReport/2020State/StateReport.aspx#?s=47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>
        <v>334</v>
      </c>
      <c r="F10" s="3">
        <f>E10/E5</f>
        <v/>
      </c>
      <c r="G10">
        <f>ROUNDDOWN(F10*E6,0)</f>
        <v/>
      </c>
      <c r="H10" s="20" t="n">
        <v>4526218</v>
      </c>
      <c r="I10" s="19">
        <f>H10/E10</f>
        <v/>
      </c>
      <c r="J10" s="19">
        <f>I10*G10</f>
        <v/>
      </c>
      <c r="K10" s="8" t="n">
        <v>119</v>
      </c>
      <c r="L10" s="3">
        <f>K10/E5</f>
        <v/>
      </c>
      <c r="M10" s="8">
        <f>ROUNDDOWN(L10*E6,0)</f>
        <v/>
      </c>
      <c r="N10" s="20" t="n">
        <v>2617420</v>
      </c>
      <c r="O10" s="21">
        <f>N10/K10</f>
        <v/>
      </c>
      <c r="P10" s="19">
        <f>M10*O10</f>
        <v/>
      </c>
    </row>
    <row r="11" customFormat="1" s="2">
      <c r="B11" s="12" t="inlineStr">
        <is>
          <t>https://www.ic3.gov/Media/PDF/AnnualReport/2020State/StateReport.aspx#?s=47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inlineStr">
        <is>
          <t>NO MATCH</t>
        </is>
      </c>
      <c r="F11" s="3">
        <f>E11/E5</f>
        <v/>
      </c>
      <c r="G11">
        <f>ROUNDDOWN(F11*E6,0)</f>
        <v/>
      </c>
      <c r="H11" s="22" t="n"/>
      <c r="I11" s="19">
        <f>H11/E11</f>
        <v/>
      </c>
      <c r="J11" s="19">
        <f>I11*G11</f>
        <v/>
      </c>
      <c r="K11" s="8" t="n"/>
      <c r="L11" s="3">
        <f>K11/E5</f>
        <v/>
      </c>
      <c r="M11" s="8">
        <f>ROUNDDOWN(L11*E6,0)</f>
        <v/>
      </c>
      <c r="N11" s="21" t="n"/>
      <c r="O11" s="21">
        <f>N11/K11</f>
        <v/>
      </c>
      <c r="P11" s="19">
        <f>M11*O11</f>
        <v/>
      </c>
    </row>
    <row r="12" customFormat="1" s="2">
      <c r="B12" s="12" t="inlineStr">
        <is>
          <t>https://www.ic3.gov/Media/PDF/AnnualReport/2020State/StateReport.aspx#?s=47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>
        <v>60</v>
      </c>
      <c r="F12" s="3">
        <f>E12/E5</f>
        <v/>
      </c>
      <c r="G12">
        <f>ROUNDDOWN(F12*E6,0)</f>
        <v/>
      </c>
      <c r="H12" s="18" t="n">
        <v>0</v>
      </c>
      <c r="I12" s="19">
        <f>H12/E12</f>
        <v/>
      </c>
      <c r="J12" s="19">
        <f>I12*G12</f>
        <v/>
      </c>
      <c r="K12" s="8" t="n">
        <v>12</v>
      </c>
      <c r="L12" s="3">
        <f>K12/E5</f>
        <v/>
      </c>
      <c r="M12" s="8">
        <f>ROUNDDOWN(L12*E6,0)</f>
        <v/>
      </c>
      <c r="N12" s="21" t="n">
        <v>0</v>
      </c>
      <c r="O12" s="21">
        <f>N12/K12</f>
        <v/>
      </c>
      <c r="P12" s="19">
        <f>M12*O12</f>
        <v/>
      </c>
    </row>
    <row r="13" customFormat="1" s="2">
      <c r="B13" s="12" t="inlineStr">
        <is>
          <t>https://www.ic3.gov/Media/PDF/AnnualReport/2020State/StateReport.aspx#?s=47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>
        <v>29</v>
      </c>
      <c r="F13" s="3">
        <f>E13/E5</f>
        <v/>
      </c>
      <c r="G13">
        <f>ROUNDDOWN(F13*E6,0)</f>
        <v/>
      </c>
      <c r="H13" s="20" t="n">
        <v>1227717</v>
      </c>
      <c r="I13" s="19">
        <f>H13/E13</f>
        <v/>
      </c>
      <c r="J13" s="19">
        <f>I13*G13</f>
        <v/>
      </c>
      <c r="K13" s="8" t="n">
        <v>5</v>
      </c>
      <c r="L13" s="3">
        <f>K13/E5</f>
        <v/>
      </c>
      <c r="M13" s="8">
        <f>ROUNDDOWN(L13*E6,0)</f>
        <v/>
      </c>
      <c r="N13" s="20" t="n">
        <v>200121</v>
      </c>
      <c r="O13" s="21">
        <f>N13/K13</f>
        <v/>
      </c>
      <c r="P13" s="19">
        <f>M13*O13</f>
        <v/>
      </c>
    </row>
    <row r="14" customFormat="1" s="2">
      <c r="B14" s="12" t="inlineStr">
        <is>
          <t>https://www.ic3.gov/Media/PDF/AnnualReport/2020State/StateReport.aspx#?s=47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>
        <v>298</v>
      </c>
      <c r="F14" s="3">
        <f>E14/E5</f>
        <v/>
      </c>
      <c r="G14">
        <f>ROUNDDOWN(F14*E6,0)</f>
        <v/>
      </c>
      <c r="H14" s="20" t="n">
        <v>549931</v>
      </c>
      <c r="I14" s="19">
        <f>H14/E14</f>
        <v/>
      </c>
      <c r="J14" s="19">
        <f>I14*G14</f>
        <v/>
      </c>
      <c r="K14" s="8" t="n">
        <v>89</v>
      </c>
      <c r="L14" s="3">
        <f>K14/E5</f>
        <v/>
      </c>
      <c r="M14" s="8">
        <f>ROUNDDOWN(L14*E6,0)</f>
        <v/>
      </c>
      <c r="N14" s="20" t="n">
        <v>520658</v>
      </c>
      <c r="O14" s="21">
        <f>N14/K14</f>
        <v/>
      </c>
      <c r="P14" s="19">
        <f>M14*O14</f>
        <v/>
      </c>
    </row>
    <row r="15" customFormat="1" s="2">
      <c r="B15" s="12" t="inlineStr">
        <is>
          <t>https://www.ic3.gov/Media/PDF/AnnualReport/2020State/StateReport.aspx#?s=47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>
        <v>1185</v>
      </c>
      <c r="F15" s="3">
        <f>E15/E5</f>
        <v/>
      </c>
      <c r="G15">
        <f>ROUNDDOWN(F15*E6,0)</f>
        <v/>
      </c>
      <c r="H15" s="20" t="inlineStr">
        <is>
          <t xml:space="preserve">$287,277	</t>
        </is>
      </c>
      <c r="I15" s="19">
        <f>H15/E15</f>
        <v/>
      </c>
      <c r="J15" s="19">
        <f>I15*G15</f>
        <v/>
      </c>
      <c r="K15" s="8" t="n">
        <v>103</v>
      </c>
      <c r="L15" s="3">
        <f>K15/E5</f>
        <v/>
      </c>
      <c r="M15" s="8">
        <f>ROUNDDOWN(L15*E6,0)</f>
        <v/>
      </c>
      <c r="N15" s="20" t="n">
        <v>12250</v>
      </c>
      <c r="O15" s="21">
        <f>N15/K15</f>
        <v/>
      </c>
      <c r="P15" s="19">
        <f>M15*O15</f>
        <v/>
      </c>
    </row>
    <row r="16" customFormat="1" s="2">
      <c r="B16" s="12" t="inlineStr">
        <is>
          <t>https://www.ic3.gov/Media/PDF/AnnualReport/2020State/StateReport.aspx#?s=47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>
        <v>218</v>
      </c>
      <c r="F16" s="3">
        <f>E16/E5</f>
        <v/>
      </c>
      <c r="G16">
        <f>ROUNDDOWN(F16*E6,0)</f>
        <v/>
      </c>
      <c r="H16" s="20" t="inlineStr">
        <is>
          <t xml:space="preserve">$301,501	</t>
        </is>
      </c>
      <c r="I16" s="19">
        <f>H16/E16</f>
        <v/>
      </c>
      <c r="J16" s="19">
        <f>I16*G16</f>
        <v/>
      </c>
      <c r="K16" s="8" t="n">
        <v>34</v>
      </c>
      <c r="L16" s="3">
        <f>K16/E5</f>
        <v/>
      </c>
      <c r="M16" s="8">
        <f>ROUNDDOWN(L16*E6,0)</f>
        <v/>
      </c>
      <c r="N16" s="20" t="n">
        <v>95030</v>
      </c>
      <c r="O16" s="21">
        <f>N16/K16</f>
        <v/>
      </c>
      <c r="P16" s="19">
        <f>M16*O16</f>
        <v/>
      </c>
    </row>
    <row r="17" customFormat="1" s="2">
      <c r="B17" s="12" t="inlineStr">
        <is>
          <t>https://www.ic3.gov/Media/PDF/AnnualReport/2020State/StateReport.aspx#?s=47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inlineStr">
        <is>
          <t>NO MATCH</t>
        </is>
      </c>
      <c r="F17" s="3">
        <f>E17/E5</f>
        <v/>
      </c>
      <c r="G17">
        <f>ROUNDDOWN(F17*E6,0)</f>
        <v/>
      </c>
      <c r="H17" s="20" t="n"/>
      <c r="I17" s="19">
        <f>H17/E17</f>
        <v/>
      </c>
      <c r="J17" s="19">
        <f>I17*G17</f>
        <v/>
      </c>
      <c r="K17" s="8" t="n"/>
      <c r="L17" s="3">
        <f>K17/E5</f>
        <v/>
      </c>
      <c r="M17" s="8">
        <f>ROUNDDOWN(L17*E6,0)</f>
        <v/>
      </c>
      <c r="N17" s="23" t="n"/>
      <c r="O17" s="21">
        <f>N17/K17</f>
        <v/>
      </c>
      <c r="P17" s="19">
        <f>M17*O17</f>
        <v/>
      </c>
    </row>
    <row r="18" customFormat="1" s="2">
      <c r="B18" s="12" t="inlineStr">
        <is>
          <t>https://www.ic3.gov/Media/PDF/AnnualReport/2020State/StateReport.aspx#?s=47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>
        <v>75</v>
      </c>
      <c r="F18" s="3">
        <f>E18/E5</f>
        <v/>
      </c>
      <c r="G18">
        <f>ROUNDDOWN(F18*E6,0)</f>
        <v/>
      </c>
      <c r="H18" s="20" t="n">
        <v>735013</v>
      </c>
      <c r="I18" s="19">
        <f>H18/E18</f>
        <v/>
      </c>
      <c r="J18" s="19">
        <f>I18*G18</f>
        <v/>
      </c>
      <c r="K18" s="8" t="n">
        <v>18</v>
      </c>
      <c r="L18" s="3">
        <f>K18/E5</f>
        <v/>
      </c>
      <c r="M18" s="8">
        <f>ROUNDDOWN(L18*E6,0)</f>
        <v/>
      </c>
      <c r="N18" s="20" t="n">
        <v>4516</v>
      </c>
      <c r="O18" s="21">
        <f>N18/K18</f>
        <v/>
      </c>
      <c r="P18" s="19">
        <f>M18*O18</f>
        <v/>
      </c>
    </row>
    <row r="19" customFormat="1" s="2">
      <c r="B19" s="12" t="inlineStr">
        <is>
          <t>https://www.ic3.gov/Media/PDF/AnnualReport/2020State/StateReport.aspx#?s=47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>
        <v>419</v>
      </c>
      <c r="F19" s="3">
        <f>E19/E5</f>
        <v/>
      </c>
      <c r="G19">
        <f>ROUNDDOWN(F19*E6,0)</f>
        <v/>
      </c>
      <c r="H19" s="20" t="n">
        <v>1024515</v>
      </c>
      <c r="I19" s="19">
        <f>H19/E19</f>
        <v/>
      </c>
      <c r="J19" s="19">
        <f>I19*G19</f>
        <v/>
      </c>
      <c r="K19" s="8" t="n">
        <v>120</v>
      </c>
      <c r="L19" s="3">
        <f>K19/E5</f>
        <v/>
      </c>
      <c r="M19" s="8">
        <f>ROUNDDOWN(L19*E6,0)</f>
        <v/>
      </c>
      <c r="N19" s="20" t="n">
        <v>144969</v>
      </c>
      <c r="O19" s="21">
        <f>N19/K19</f>
        <v/>
      </c>
      <c r="P19" s="19">
        <f>M19*O19</f>
        <v/>
      </c>
    </row>
    <row r="20" customFormat="1" s="2">
      <c r="B20" s="12" t="inlineStr">
        <is>
          <t>https://www.ic3.gov/Media/PDF/AnnualReport/2020State/StateReport.aspx#?s=47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>
        <v>71</v>
      </c>
      <c r="F20" s="3">
        <f>E20/E5</f>
        <v/>
      </c>
      <c r="G20">
        <f>ROUNDDOWN(F20*E6,0)</f>
        <v/>
      </c>
      <c r="H20" s="20" t="n">
        <v>4465348</v>
      </c>
      <c r="I20" s="19">
        <f>H20/E20</f>
        <v/>
      </c>
      <c r="J20" s="19">
        <f>I20*G20</f>
        <v/>
      </c>
      <c r="K20" s="8" t="n">
        <v>14</v>
      </c>
      <c r="L20" s="3">
        <f>K20/E5</f>
        <v/>
      </c>
      <c r="M20" s="8">
        <f>ROUNDDOWN(L20*E6,0)</f>
        <v/>
      </c>
      <c r="N20" s="20" t="n">
        <v>423449</v>
      </c>
      <c r="O20" s="21">
        <f>N20/K20</f>
        <v/>
      </c>
      <c r="P20" s="19">
        <f>M20*O20</f>
        <v/>
      </c>
    </row>
    <row r="21" customFormat="1" s="2">
      <c r="B21" s="12" t="inlineStr">
        <is>
          <t>https://www.ic3.gov/Media/PDF/AnnualReport/2020State/StateReport.aspx#?s=47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>
        <v>130</v>
      </c>
      <c r="F21" s="3">
        <f>E21/E5</f>
        <v/>
      </c>
      <c r="G21">
        <f>ROUNDDOWN(F21*E6,0)</f>
        <v/>
      </c>
      <c r="H21" s="20" t="n">
        <v>798607</v>
      </c>
      <c r="I21" s="19">
        <f>H21/E21</f>
        <v/>
      </c>
      <c r="J21" s="19">
        <f>I21*G21</f>
        <v/>
      </c>
      <c r="K21" s="8" t="n">
        <v>19</v>
      </c>
      <c r="L21" s="3">
        <f>K21/E5</f>
        <v/>
      </c>
      <c r="M21" s="8">
        <f>ROUNDDOWN(L21*E6,0)</f>
        <v/>
      </c>
      <c r="N21" s="20" t="n">
        <v>142442</v>
      </c>
      <c r="O21" s="21">
        <f>N21/K21</f>
        <v/>
      </c>
      <c r="P21" s="19">
        <f>M21*O21</f>
        <v/>
      </c>
    </row>
    <row r="22" customFormat="1" s="2">
      <c r="B22" s="12" t="inlineStr">
        <is>
          <t>https://www.ic3.gov/Media/PDF/AnnualReport/2020State/StateReport.aspx#?s=47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>
        <v>18</v>
      </c>
      <c r="F22" s="3">
        <f>E22/E5</f>
        <v/>
      </c>
      <c r="G22">
        <f>ROUNDDOWN(F22*E6,0)</f>
        <v/>
      </c>
      <c r="H22" s="20" t="n">
        <v>7696</v>
      </c>
      <c r="I22" s="19">
        <f>H22/E22</f>
        <v/>
      </c>
      <c r="J22" s="19">
        <f>I22*G22</f>
        <v/>
      </c>
      <c r="K22" s="8" t="n">
        <v>3</v>
      </c>
      <c r="L22" s="3">
        <f>K22/E5</f>
        <v/>
      </c>
      <c r="M22" s="8">
        <f>ROUNDDOWN(L22*E6,0)</f>
        <v/>
      </c>
      <c r="N22" s="21" t="n">
        <v>0</v>
      </c>
      <c r="O22" s="21">
        <f>N22/K22</f>
        <v/>
      </c>
      <c r="P22" s="19">
        <f>M22*O22</f>
        <v/>
      </c>
    </row>
    <row r="23" customFormat="1" s="2">
      <c r="B23" s="12" t="inlineStr">
        <is>
          <t>https://www.ic3.gov/Media/PDF/AnnualReport/2020State/StateReport.aspx#?s=47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inlineStr">
        <is>
          <t>NO MATCH</t>
        </is>
      </c>
      <c r="F23" s="3">
        <f>E23/E5</f>
        <v/>
      </c>
      <c r="G23">
        <f>ROUNDDOWN(F23*E6,0)</f>
        <v/>
      </c>
      <c r="H23" s="20" t="n"/>
      <c r="I23" s="19">
        <f>H23/E23</f>
        <v/>
      </c>
      <c r="J23" s="19">
        <f>I23*G23</f>
        <v/>
      </c>
      <c r="K23" s="8" t="n"/>
      <c r="L23" s="3">
        <f>K23/E5</f>
        <v/>
      </c>
      <c r="M23" s="8">
        <f>ROUNDDOWN(L23*E6,0)</f>
        <v/>
      </c>
      <c r="N23" s="21" t="n"/>
      <c r="O23" s="21">
        <f>N23/K23</f>
        <v/>
      </c>
      <c r="P23" s="19">
        <f>M23*O23</f>
        <v/>
      </c>
    </row>
    <row r="24" customFormat="1" s="2">
      <c r="B24" s="12" t="inlineStr">
        <is>
          <t>https://www.ic3.gov/Media/PDF/AnnualReport/2020State/StateReport.aspx#?s=47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inlineStr">
        <is>
          <t>NO MATCH</t>
        </is>
      </c>
      <c r="F24" s="3">
        <f>E24/E5</f>
        <v/>
      </c>
      <c r="G24">
        <f>ROUNDDOWN(F24*E6,0)</f>
        <v/>
      </c>
      <c r="H24" s="20" t="n"/>
      <c r="I24" s="19">
        <f>H24/E24</f>
        <v/>
      </c>
      <c r="J24" s="19">
        <f>I24*G24</f>
        <v/>
      </c>
      <c r="K24" s="8" t="n"/>
      <c r="L24" s="3">
        <f>K24/E5</f>
        <v/>
      </c>
      <c r="M24" s="8">
        <f>ROUNDDOWN(L24*E6,0)</f>
        <v/>
      </c>
      <c r="N24" s="21" t="n"/>
      <c r="O24" s="21">
        <f>N24/K24</f>
        <v/>
      </c>
      <c r="P24" s="19">
        <f>M24*O24</f>
        <v/>
      </c>
    </row>
    <row r="25" customFormat="1" s="2">
      <c r="B25" s="12" t="inlineStr">
        <is>
          <t>https://www.ic3.gov/Media/PDF/AnnualReport/2020State/StateReport.aspx#?s=47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>
        <v>843</v>
      </c>
      <c r="F25" s="3">
        <f>E25/E5</f>
        <v/>
      </c>
      <c r="G25">
        <f>ROUNDDOWN(F25*E6,0)</f>
        <v/>
      </c>
      <c r="H25" s="20" t="n">
        <v>0</v>
      </c>
      <c r="I25" s="19">
        <f>H25/E25</f>
        <v/>
      </c>
      <c r="J25" s="19">
        <f>I25*G25</f>
        <v/>
      </c>
      <c r="K25" s="8" t="n">
        <v>693</v>
      </c>
      <c r="L25" s="3">
        <f>K25/E5</f>
        <v/>
      </c>
      <c r="M25" s="8">
        <f>ROUNDDOWN(L25*E6,0)</f>
        <v/>
      </c>
      <c r="N25" s="21" t="n">
        <v>0</v>
      </c>
      <c r="O25" s="21">
        <f>N25/K25</f>
        <v/>
      </c>
      <c r="P25" s="19">
        <f>M25*O25</f>
        <v/>
      </c>
    </row>
    <row r="26" customFormat="1" s="2">
      <c r="B26" s="12" t="inlineStr">
        <is>
          <t>https://www.ic3.gov/Media/PDF/AnnualReport/2020State/StateReport.aspx#?s=47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>
        <v>1922</v>
      </c>
      <c r="F26" s="3">
        <f>E26/E5</f>
        <v/>
      </c>
      <c r="G26">
        <f>ROUNDDOWN(F26*E6,0)</f>
        <v/>
      </c>
      <c r="H26" s="20" t="n">
        <v>2347435</v>
      </c>
      <c r="I26" s="19">
        <f>H26/E26</f>
        <v/>
      </c>
      <c r="J26" s="19">
        <f>I26*G26</f>
        <v/>
      </c>
      <c r="K26" s="8" t="n">
        <v>543</v>
      </c>
      <c r="L26" s="3">
        <f>K26/E5</f>
        <v/>
      </c>
      <c r="M26" s="8">
        <f>ROUNDDOWN(L26*E6,0)</f>
        <v/>
      </c>
      <c r="N26" s="20" t="n">
        <v>3447980</v>
      </c>
      <c r="O26" s="21">
        <f>N26/K26</f>
        <v/>
      </c>
      <c r="P26" s="19">
        <f>M26*O26</f>
        <v/>
      </c>
    </row>
    <row r="27" customFormat="1" s="2">
      <c r="B27" s="12" t="inlineStr">
        <is>
          <t>https://www.ic3.gov/Media/PDF/AnnualReport/2020State/StateReport.aspx#?s=47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>
        <v>110</v>
      </c>
      <c r="F27" s="3">
        <f>E27/E5</f>
        <v/>
      </c>
      <c r="G27">
        <f>ROUNDDOWN(F27*E6,0)</f>
        <v/>
      </c>
      <c r="H27" s="20" t="n">
        <v>431446</v>
      </c>
      <c r="I27" s="19">
        <f>H27/E27</f>
        <v/>
      </c>
      <c r="J27" s="19">
        <f>I27*G27</f>
        <v/>
      </c>
      <c r="K27" s="8" t="n">
        <v>38</v>
      </c>
      <c r="L27" s="3">
        <f>K27/E5</f>
        <v/>
      </c>
      <c r="M27" s="8">
        <f>ROUNDDOWN(L27*E6,0)</f>
        <v/>
      </c>
      <c r="N27" s="20" t="n">
        <v>483231</v>
      </c>
      <c r="O27" s="21">
        <f>N27/K27</f>
        <v/>
      </c>
      <c r="P27" s="19">
        <f>M27*O27</f>
        <v/>
      </c>
    </row>
    <row r="28" customFormat="1" s="2">
      <c r="B28" s="12" t="inlineStr">
        <is>
          <t>https://www.ic3.gov/Media/PDF/AnnualReport/2020State/StateReport.aspx#?s=47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>
        <v>162</v>
      </c>
      <c r="F28" s="3">
        <f>E28/E5</f>
        <v/>
      </c>
      <c r="G28">
        <f>ROUNDDOWN(F28*E6,0)</f>
        <v/>
      </c>
      <c r="H28" s="20" t="n">
        <v>319136</v>
      </c>
      <c r="I28" s="19">
        <f>H28/E28</f>
        <v/>
      </c>
      <c r="J28" s="19">
        <f>I28*G28</f>
        <v/>
      </c>
      <c r="K28" s="8" t="n">
        <v>59</v>
      </c>
      <c r="L28" s="3">
        <f>K28/E5</f>
        <v/>
      </c>
      <c r="M28" s="8">
        <f>ROUNDDOWN(L28*E6,0)</f>
        <v/>
      </c>
      <c r="N28" s="20" t="n">
        <v>137685</v>
      </c>
      <c r="O28" s="21">
        <f>N28/K28</f>
        <v/>
      </c>
      <c r="P28" s="19">
        <f>M28*O28</f>
        <v/>
      </c>
    </row>
    <row r="29" customFormat="1" s="2">
      <c r="B29" s="12" t="inlineStr">
        <is>
          <t>https://www.ic3.gov/Media/PDF/AnnualReport/2020State/StateReport.aspx#?s=47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>
        <v>714</v>
      </c>
      <c r="F29" s="3">
        <f>E29/E5</f>
        <v/>
      </c>
      <c r="G29">
        <f>ROUNDDOWN(F29*E6,0)</f>
        <v/>
      </c>
      <c r="H29" s="20" t="n">
        <v>569494</v>
      </c>
      <c r="I29" s="19">
        <f>H29/E29</f>
        <v/>
      </c>
      <c r="J29" s="19">
        <f>I29*G29</f>
        <v/>
      </c>
      <c r="K29" s="8" t="n">
        <v>215</v>
      </c>
      <c r="L29" s="3">
        <f>K29/E5</f>
        <v/>
      </c>
      <c r="M29" s="8">
        <f>ROUNDDOWN(L29*E6,0)</f>
        <v/>
      </c>
      <c r="N29" s="20" t="n">
        <v>118928</v>
      </c>
      <c r="O29" s="21">
        <f>N29/K29</f>
        <v/>
      </c>
      <c r="P29" s="19">
        <f>M29*O29</f>
        <v/>
      </c>
    </row>
    <row r="30" customFormat="1" s="2">
      <c r="B30" s="12" t="inlineStr">
        <is>
          <t>https://www.ic3.gov/Media/PDF/AnnualReport/2020State/StateReport.aspx#?s=47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>
        <v>379</v>
      </c>
      <c r="F30" s="3">
        <f>E30/E5</f>
        <v/>
      </c>
      <c r="G30">
        <f>ROUNDDOWN(F30*E6,0)</f>
        <v/>
      </c>
      <c r="H30" s="20" t="n">
        <v>2921163</v>
      </c>
      <c r="I30" s="19">
        <f>H30/E30</f>
        <v/>
      </c>
      <c r="J30" s="19">
        <f>I30*G30</f>
        <v/>
      </c>
      <c r="K30" s="8" t="n">
        <v>42</v>
      </c>
      <c r="L30" s="3">
        <f>K30/E5</f>
        <v/>
      </c>
      <c r="M30" s="8">
        <f>ROUNDDOWN(L30*E6,0)</f>
        <v/>
      </c>
      <c r="N30" s="20" t="n">
        <v>173343</v>
      </c>
      <c r="O30" s="21">
        <f>N30/K30</f>
        <v/>
      </c>
      <c r="P30" s="19">
        <f>M30*O30</f>
        <v/>
      </c>
    </row>
    <row r="31" customFormat="1" s="2">
      <c r="B31" s="12" t="inlineStr">
        <is>
          <t>https://www.ic3.gov/Media/PDF/AnnualReport/2020State/StateReport.aspx#?s=47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>
        <v>34</v>
      </c>
      <c r="F31" s="3">
        <f>E31/E5</f>
        <v/>
      </c>
      <c r="G31">
        <f>ROUNDDOWN(F31*E6,0)</f>
        <v/>
      </c>
      <c r="H31" s="20" t="n">
        <v>24860</v>
      </c>
      <c r="I31" s="19">
        <f>H31/E31</f>
        <v/>
      </c>
      <c r="J31" s="19">
        <f>I31*G31</f>
        <v/>
      </c>
      <c r="K31" s="8" t="n">
        <v>0</v>
      </c>
      <c r="L31" s="3">
        <f>K31/E5</f>
        <v/>
      </c>
      <c r="M31" s="8">
        <f>ROUNDDOWN(L31*E6,0)</f>
        <v/>
      </c>
      <c r="N31" s="21" t="n">
        <v>0</v>
      </c>
      <c r="O31" s="21">
        <f>N31/K31</f>
        <v/>
      </c>
      <c r="P31" s="19">
        <f>M31*O31</f>
        <v/>
      </c>
    </row>
    <row r="32" customFormat="1" s="2">
      <c r="B32" s="12" t="inlineStr">
        <is>
          <t>https://www.ic3.gov/Media/PDF/AnnualReport/2020State/StateReport.aspx#?s=47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>
        <v>229</v>
      </c>
      <c r="F32" s="3">
        <f>E32/E5</f>
        <v/>
      </c>
      <c r="G32">
        <f>ROUNDDOWN(F32*E6,0)</f>
        <v/>
      </c>
      <c r="H32" s="20" t="n">
        <v>2382094</v>
      </c>
      <c r="I32" s="19">
        <f>H32/E32</f>
        <v/>
      </c>
      <c r="J32" s="19">
        <f>I32*G32</f>
        <v/>
      </c>
      <c r="K32" s="8" t="n">
        <v>67</v>
      </c>
      <c r="L32" s="3">
        <f>K32/E5</f>
        <v/>
      </c>
      <c r="M32" s="8">
        <f>ROUNDDOWN(L32*E6,0)</f>
        <v/>
      </c>
      <c r="N32" s="20" t="n">
        <v>464575</v>
      </c>
      <c r="O32" s="21">
        <f>N32/K32</f>
        <v/>
      </c>
      <c r="P32" s="19">
        <f>M32*O32</f>
        <v/>
      </c>
    </row>
    <row r="33" customFormat="1" s="2">
      <c r="B33" s="12" t="inlineStr">
        <is>
          <t>https://www.ic3.gov/Media/PDF/AnnualReport/2020State/StateReport.aspx#?s=47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inlineStr">
        <is>
          <t>NO MATCH</t>
        </is>
      </c>
      <c r="F33" s="3">
        <f>E33/E5</f>
        <v/>
      </c>
      <c r="G33">
        <f>ROUNDDOWN(F33*E6,0)</f>
        <v/>
      </c>
      <c r="H33" s="20" t="n"/>
      <c r="I33" s="19">
        <f>H33/E33</f>
        <v/>
      </c>
      <c r="J33" s="19">
        <f>I33*G33</f>
        <v/>
      </c>
      <c r="K33" s="8" t="n"/>
      <c r="L33" s="3">
        <f>K33/E5</f>
        <v/>
      </c>
      <c r="M33" s="8">
        <f>ROUNDDOWN(L33*E6,0)</f>
        <v/>
      </c>
      <c r="N33" s="20" t="n"/>
      <c r="O33" s="21">
        <f>N33/K33</f>
        <v/>
      </c>
      <c r="P33" s="19">
        <f>M33*O33</f>
        <v/>
      </c>
    </row>
    <row r="34" customFormat="1" s="2">
      <c r="B34" s="12" t="inlineStr">
        <is>
          <t>https://www.ic3.gov/Media/PDF/AnnualReport/2020State/StateReport.aspx#?s=47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>
        <v>366</v>
      </c>
      <c r="F34" s="3">
        <f>E34/E5</f>
        <v/>
      </c>
      <c r="G34">
        <f>ROUNDDOWN(F34*E6,0)</f>
        <v/>
      </c>
      <c r="H34" s="20" t="n">
        <v>3299698</v>
      </c>
      <c r="I34" s="19">
        <f>H34/E34</f>
        <v/>
      </c>
      <c r="J34" s="19">
        <f>I34*G34</f>
        <v/>
      </c>
      <c r="K34" s="8" t="n">
        <v>72</v>
      </c>
      <c r="L34" s="3">
        <f>K34/E5</f>
        <v/>
      </c>
      <c r="M34" s="8">
        <f>ROUNDDOWN(L34*E6,0)</f>
        <v/>
      </c>
      <c r="N34" s="20" t="n">
        <v>233490</v>
      </c>
      <c r="O34" s="21">
        <f>N34/K34</f>
        <v/>
      </c>
      <c r="P34" s="19">
        <f>M34*O34</f>
        <v/>
      </c>
    </row>
    <row r="35" customFormat="1" s="2">
      <c r="B35" s="12" t="inlineStr">
        <is>
          <t>https://www.ic3.gov/Media/PDF/AnnualReport/2020State/StateReport.aspx#?s=47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>
        <v>281</v>
      </c>
      <c r="F35" s="3">
        <f>E35/E5</f>
        <v/>
      </c>
      <c r="G35">
        <f>ROUNDDOWN(F35*E6,0)</f>
        <v/>
      </c>
      <c r="H35" s="20" t="n">
        <v>1500271</v>
      </c>
      <c r="I35" s="19">
        <f>H35/E35</f>
        <v/>
      </c>
      <c r="J35" s="19">
        <f>I35*G35</f>
        <v/>
      </c>
      <c r="K35" s="8" t="n">
        <v>47</v>
      </c>
      <c r="L35" s="3">
        <f>K35/E5</f>
        <v/>
      </c>
      <c r="M35" s="8">
        <f>ROUNDDOWN(L35*E6,0)</f>
        <v/>
      </c>
      <c r="N35" s="20" t="n">
        <v>151959</v>
      </c>
      <c r="O35" s="21">
        <f>N35/K35</f>
        <v/>
      </c>
      <c r="P35" s="19">
        <f>M35*O35</f>
        <v/>
      </c>
    </row>
    <row r="36" customFormat="1" s="2">
      <c r="B36" s="12" t="inlineStr">
        <is>
          <t>https://www.ic3.gov/Media/PDF/AnnualReport/2020State/StateReport.aspx#?s=47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>
        <v>267</v>
      </c>
      <c r="F36" s="3">
        <f>E36/E5</f>
        <v/>
      </c>
      <c r="G36">
        <f>ROUNDDOWN(F36*E6,0)</f>
        <v/>
      </c>
      <c r="H36" s="20" t="n">
        <v>38329</v>
      </c>
      <c r="I36" s="19">
        <f>H36/E36</f>
        <v/>
      </c>
      <c r="J36" s="19">
        <f>I36*G36</f>
        <v/>
      </c>
      <c r="K36" s="8" t="n">
        <v>109</v>
      </c>
      <c r="L36" s="3">
        <f>K36/E5</f>
        <v/>
      </c>
      <c r="M36" s="8">
        <f>ROUNDDOWN(L36*E6,0)</f>
        <v/>
      </c>
      <c r="N36" s="22" t="n">
        <v>1426</v>
      </c>
      <c r="O36" s="21">
        <f>N36/K36</f>
        <v/>
      </c>
      <c r="P36" s="19">
        <f>M36*O36</f>
        <v/>
      </c>
    </row>
    <row r="37">
      <c r="J37" s="19">
        <f>I37*G37</f>
        <v/>
      </c>
      <c r="L37" s="3" t="n"/>
      <c r="M37" s="3" t="n"/>
      <c r="N37" s="21" t="n"/>
      <c r="O37" s="21" t="n"/>
    </row>
    <row r="38">
      <c r="E38" s="1">
        <f>SUM(E7:E36)</f>
        <v/>
      </c>
      <c r="G38">
        <f>SUM(G8:G36)</f>
        <v/>
      </c>
      <c r="I38" s="19">
        <f>H38/E38</f>
        <v/>
      </c>
      <c r="J38" s="19">
        <f>I38*G38</f>
        <v/>
      </c>
      <c r="L38" s="3" t="n"/>
      <c r="M38" s="3" t="n"/>
      <c r="N38" s="21" t="n"/>
      <c r="O38" s="21" t="n"/>
    </row>
    <row r="39">
      <c r="C39" t="inlineStr">
        <is>
          <t>Reported harassment and threats of violence together</t>
        </is>
      </c>
    </row>
    <row r="40">
      <c r="C40" t="inlineStr">
        <is>
          <t>Put the value under threats of violence</t>
        </is>
      </c>
    </row>
    <row r="41">
      <c r="O41" t="inlineStr">
        <is>
          <t>Looking at these numbers on local losses,</t>
        </is>
      </c>
    </row>
    <row r="42">
      <c r="O42" t="inlineStr">
        <is>
          <t xml:space="preserve">It seems that in order to make millions, </t>
        </is>
      </c>
    </row>
    <row r="43">
      <c r="O43" t="inlineStr">
        <is>
          <t>cybercriminals might have to work globally.</t>
        </is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location="?s=47" r:id="rId3"/>
    <hyperlink xmlns:r="http://schemas.openxmlformats.org/officeDocument/2006/relationships" ref="B8" location="?s=47" display="https://www.ic3.gov/Media/PDF/AnnualReport/2020State/StateReport.aspx#?s=47" r:id="rId4"/>
    <hyperlink xmlns:r="http://schemas.openxmlformats.org/officeDocument/2006/relationships" ref="B9" location="?s=47" display="https://www.ic3.gov/Media/PDF/AnnualReport/2020State/StateReport.aspx#?s=47" r:id="rId5"/>
    <hyperlink xmlns:r="http://schemas.openxmlformats.org/officeDocument/2006/relationships" ref="B10" location="?s=47" display="https://www.ic3.gov/Media/PDF/AnnualReport/2020State/StateReport.aspx#?s=47" r:id="rId6"/>
    <hyperlink xmlns:r="http://schemas.openxmlformats.org/officeDocument/2006/relationships" ref="B11" location="?s=47" display="https://www.ic3.gov/Media/PDF/AnnualReport/2020State/StateReport.aspx#?s=47" r:id="rId7"/>
    <hyperlink xmlns:r="http://schemas.openxmlformats.org/officeDocument/2006/relationships" ref="B12" location="?s=47" display="https://www.ic3.gov/Media/PDF/AnnualReport/2020State/StateReport.aspx#?s=47" r:id="rId8"/>
    <hyperlink xmlns:r="http://schemas.openxmlformats.org/officeDocument/2006/relationships" ref="B13" location="?s=47" display="https://www.ic3.gov/Media/PDF/AnnualReport/2020State/StateReport.aspx#?s=47" r:id="rId9"/>
    <hyperlink xmlns:r="http://schemas.openxmlformats.org/officeDocument/2006/relationships" ref="B14" location="?s=47" display="https://www.ic3.gov/Media/PDF/AnnualReport/2020State/StateReport.aspx#?s=47" r:id="rId10"/>
    <hyperlink xmlns:r="http://schemas.openxmlformats.org/officeDocument/2006/relationships" ref="B15" location="?s=47" display="https://www.ic3.gov/Media/PDF/AnnualReport/2020State/StateReport.aspx#?s=47" r:id="rId11"/>
    <hyperlink xmlns:r="http://schemas.openxmlformats.org/officeDocument/2006/relationships" ref="B16" location="?s=47" display="https://www.ic3.gov/Media/PDF/AnnualReport/2020State/StateReport.aspx#?s=47" r:id="rId12"/>
    <hyperlink xmlns:r="http://schemas.openxmlformats.org/officeDocument/2006/relationships" ref="B17" location="?s=47" display="https://www.ic3.gov/Media/PDF/AnnualReport/2020State/StateReport.aspx#?s=47" r:id="rId13"/>
    <hyperlink xmlns:r="http://schemas.openxmlformats.org/officeDocument/2006/relationships" ref="B18" location="?s=47" display="https://www.ic3.gov/Media/PDF/AnnualReport/2020State/StateReport.aspx#?s=47" r:id="rId14"/>
    <hyperlink xmlns:r="http://schemas.openxmlformats.org/officeDocument/2006/relationships" ref="B19" location="?s=47" display="https://www.ic3.gov/Media/PDF/AnnualReport/2020State/StateReport.aspx#?s=47" r:id="rId15"/>
    <hyperlink xmlns:r="http://schemas.openxmlformats.org/officeDocument/2006/relationships" ref="B20" location="?s=47" display="https://www.ic3.gov/Media/PDF/AnnualReport/2020State/StateReport.aspx#?s=47" r:id="rId16"/>
    <hyperlink xmlns:r="http://schemas.openxmlformats.org/officeDocument/2006/relationships" ref="B21" location="?s=47" display="https://www.ic3.gov/Media/PDF/AnnualReport/2020State/StateReport.aspx#?s=47" r:id="rId17"/>
    <hyperlink xmlns:r="http://schemas.openxmlformats.org/officeDocument/2006/relationships" ref="B22" location="?s=47" display="https://www.ic3.gov/Media/PDF/AnnualReport/2020State/StateReport.aspx#?s=47" r:id="rId18"/>
    <hyperlink xmlns:r="http://schemas.openxmlformats.org/officeDocument/2006/relationships" ref="B23" location="?s=47" display="https://www.ic3.gov/Media/PDF/AnnualReport/2020State/StateReport.aspx#?s=47" r:id="rId19"/>
    <hyperlink xmlns:r="http://schemas.openxmlformats.org/officeDocument/2006/relationships" ref="B24" location="?s=47" display="https://www.ic3.gov/Media/PDF/AnnualReport/2020State/StateReport.aspx#?s=47" r:id="rId20"/>
    <hyperlink xmlns:r="http://schemas.openxmlformats.org/officeDocument/2006/relationships" ref="B25" location="?s=47" display="https://www.ic3.gov/Media/PDF/AnnualReport/2020State/StateReport.aspx#?s=47" r:id="rId21"/>
    <hyperlink xmlns:r="http://schemas.openxmlformats.org/officeDocument/2006/relationships" ref="B26" location="?s=47" display="https://www.ic3.gov/Media/PDF/AnnualReport/2020State/StateReport.aspx#?s=47" r:id="rId22"/>
    <hyperlink xmlns:r="http://schemas.openxmlformats.org/officeDocument/2006/relationships" ref="B27" location="?s=47" display="https://www.ic3.gov/Media/PDF/AnnualReport/2020State/StateReport.aspx#?s=47" r:id="rId23"/>
    <hyperlink xmlns:r="http://schemas.openxmlformats.org/officeDocument/2006/relationships" ref="B28" location="?s=47" display="https://www.ic3.gov/Media/PDF/AnnualReport/2020State/StateReport.aspx#?s=47" r:id="rId24"/>
    <hyperlink xmlns:r="http://schemas.openxmlformats.org/officeDocument/2006/relationships" ref="B29" location="?s=47" display="https://www.ic3.gov/Media/PDF/AnnualReport/2020State/StateReport.aspx#?s=47" r:id="rId25"/>
    <hyperlink xmlns:r="http://schemas.openxmlformats.org/officeDocument/2006/relationships" ref="B30" location="?s=47" display="https://www.ic3.gov/Media/PDF/AnnualReport/2020State/StateReport.aspx#?s=47" r:id="rId26"/>
    <hyperlink xmlns:r="http://schemas.openxmlformats.org/officeDocument/2006/relationships" ref="B31" location="?s=47" display="https://www.ic3.gov/Media/PDF/AnnualReport/2020State/StateReport.aspx#?s=47" r:id="rId27"/>
    <hyperlink xmlns:r="http://schemas.openxmlformats.org/officeDocument/2006/relationships" ref="B32" location="?s=47" display="https://www.ic3.gov/Media/PDF/AnnualReport/2020State/StateReport.aspx#?s=47" r:id="rId28"/>
    <hyperlink xmlns:r="http://schemas.openxmlformats.org/officeDocument/2006/relationships" ref="B33" location="?s=47" display="https://www.ic3.gov/Media/PDF/AnnualReport/2020State/StateReport.aspx#?s=47" r:id="rId29"/>
    <hyperlink xmlns:r="http://schemas.openxmlformats.org/officeDocument/2006/relationships" ref="B34" location="?s=47" display="https://www.ic3.gov/Media/PDF/AnnualReport/2020State/StateReport.aspx#?s=47" r:id="rId30"/>
    <hyperlink xmlns:r="http://schemas.openxmlformats.org/officeDocument/2006/relationships" ref="B35" location="?s=47" display="https://www.ic3.gov/Media/PDF/AnnualReport/2020State/StateReport.aspx#?s=47" r:id="rId31"/>
    <hyperlink xmlns:r="http://schemas.openxmlformats.org/officeDocument/2006/relationships" ref="B36" location="?s=47" display="https://www.ic3.gov/Media/PDF/AnnualReport/2020State/StateReport.aspx#?s=47" r:id="rId32"/>
  </hyperlink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P42"/>
  <sheetViews>
    <sheetView topLeftCell="A7" workbookViewId="0">
      <selection activeCell="I29" sqref="I29"/>
    </sheetView>
  </sheetViews>
  <sheetFormatPr baseColWidth="8" defaultRowHeight="14.4"/>
  <cols>
    <col width="70.109375" customWidth="1" min="2" max="2"/>
    <col width="27.5546875" customWidth="1" min="3" max="3"/>
    <col hidden="1" width="17.6640625" customWidth="1" min="4" max="4"/>
    <col hidden="1" width="8.88671875" customWidth="1" min="5" max="5"/>
    <col hidden="1" width="24.6640625" customWidth="1" min="6" max="6"/>
    <col hidden="1" width="48.88671875" customWidth="1" min="7" max="7"/>
    <col hidden="1" width="41.88671875" customWidth="1" style="18" min="8" max="8"/>
    <col width="44" customWidth="1" style="19" min="9" max="9"/>
    <col width="56.21875" customWidth="1" min="10" max="10"/>
    <col width="34.21875" customWidth="1" style="8" min="11" max="13"/>
    <col width="44.6640625" customWidth="1" min="14" max="15"/>
    <col width="37.77734375" bestFit="1" customWidth="1" min="16" max="16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s="18" t="inlineStr">
        <is>
          <t>State Victim Loss</t>
        </is>
      </c>
      <c r="I4" s="19" t="inlineStr">
        <is>
          <t>Even Loss per State Victim Count</t>
        </is>
      </c>
      <c r="J4" t="inlineStr">
        <is>
          <t>Projected In-City Victim Loss</t>
        </is>
      </c>
      <c r="K4" s="8" t="inlineStr">
        <is>
          <t>State Subject (Perpetrator) Count</t>
        </is>
      </c>
      <c r="L4" s="8" t="inlineStr">
        <is>
          <t>Subject (Perpetrator) to State Population</t>
        </is>
      </c>
      <c r="M4" s="8" t="inlineStr">
        <is>
          <t>Estimated Subject to City Population</t>
        </is>
      </c>
      <c r="N4" t="inlineStr">
        <is>
          <t>State Subject Losses (Perpetrator gained X dollars)</t>
        </is>
      </c>
      <c r="O4" s="8" t="inlineStr">
        <is>
          <t>Even Loss per State Subject</t>
        </is>
      </c>
      <c r="P4" s="8" t="inlineStr">
        <is>
          <t xml:space="preserve">Estimated In-City Subject Losses (Perpetrator Take from Victim) </t>
        </is>
      </c>
    </row>
    <row r="5">
      <c r="B5" s="12" t="inlineStr">
        <is>
          <t>https://www2.census.gov/programs-surveys/popest/datasets/2020-2022/state/totals/NST-EST2022-POPCHG2020_2022.csv</t>
        </is>
      </c>
      <c r="C5" t="inlineStr">
        <is>
          <t>TN Population in 2021</t>
        </is>
      </c>
      <c r="D5" t="inlineStr">
        <is>
          <t>Population Estimate</t>
        </is>
      </c>
      <c r="E5" s="1" t="n">
        <v>6968351</v>
      </c>
      <c r="F5" t="inlineStr">
        <is>
          <t>Raw Value</t>
        </is>
      </c>
      <c r="G5" t="inlineStr">
        <is>
          <t>(Victim Count/State Population ) * City Population</t>
        </is>
      </c>
      <c r="J5" t="inlineStr">
        <is>
          <t>Estimated In-City Victims * Even Loss per State Victim</t>
        </is>
      </c>
      <c r="P5" t="inlineStr">
        <is>
          <t>Subject to City * Even Loss per State Subject</t>
        </is>
      </c>
    </row>
    <row r="6" customFormat="1" s="2">
      <c r="B6" s="14" t="inlineStr">
        <is>
          <t>https://www.census.gov/data/tables/time-series/demo/popest/2020s-total-cities-and-towns.html</t>
        </is>
      </c>
      <c r="C6" t="inlineStr">
        <is>
          <t>Chattanooga Population in 2021</t>
        </is>
      </c>
      <c r="D6" t="inlineStr">
        <is>
          <t>Population Estimate</t>
        </is>
      </c>
      <c r="E6" s="13" t="n">
        <v>181163</v>
      </c>
      <c r="H6" s="18" t="n"/>
      <c r="I6" s="19" t="n"/>
      <c r="K6" s="8" t="n"/>
      <c r="L6" s="8" t="n"/>
      <c r="M6" s="8" t="n"/>
    </row>
    <row r="7" customFormat="1" s="2">
      <c r="B7" t="inlineStr">
        <is>
          <t>https://www.ic3.gov/Media/PDF/AnnualReport/2021State/StateReport.aspx#?s=47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>
        <v>172</v>
      </c>
      <c r="F7" s="3">
        <f>E7/E5</f>
        <v/>
      </c>
      <c r="G7">
        <f>ROUNDDOWN(F7*E6,0)</f>
        <v/>
      </c>
      <c r="H7" s="20" t="n">
        <v>2943621</v>
      </c>
      <c r="I7" s="19">
        <f>H7/E7</f>
        <v/>
      </c>
      <c r="J7" s="19">
        <f>I7*G7</f>
        <v/>
      </c>
      <c r="K7" s="8" t="n">
        <v>52</v>
      </c>
      <c r="L7" s="3">
        <f>K7/E5</f>
        <v/>
      </c>
      <c r="M7" s="8">
        <f>ROUNDDOWN(L7*E6,0)</f>
        <v/>
      </c>
      <c r="N7" s="21" t="n">
        <v>98602</v>
      </c>
      <c r="O7" s="21">
        <f>N7/K7</f>
        <v/>
      </c>
      <c r="P7" s="19">
        <f>M7*O7</f>
        <v/>
      </c>
    </row>
    <row r="8" customFormat="1" s="2">
      <c r="B8" t="inlineStr">
        <is>
          <t>https://www.ic3.gov/Media/PDF/AnnualReport/2021State/StateReport.aspx#?s=47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>
        <v>321</v>
      </c>
      <c r="F8" s="3">
        <f>E8/E5</f>
        <v/>
      </c>
      <c r="G8">
        <f>ROUNDDOWN(F8*E6,0)</f>
        <v/>
      </c>
      <c r="H8" s="20" t="n">
        <v>38847655</v>
      </c>
      <c r="I8" s="19">
        <f>H8/E8</f>
        <v/>
      </c>
      <c r="J8" s="19">
        <f>I8*G8</f>
        <v/>
      </c>
      <c r="K8" s="8" t="n">
        <v>52</v>
      </c>
      <c r="L8" s="3">
        <f>K8/E5</f>
        <v/>
      </c>
      <c r="M8" s="8">
        <f>ROUNDDOWN(L8*E6,0)</f>
        <v/>
      </c>
      <c r="N8" s="21" t="n">
        <v>5165687</v>
      </c>
      <c r="O8" s="21">
        <f>N8/K8</f>
        <v/>
      </c>
      <c r="P8" s="19">
        <f>M8*O8</f>
        <v/>
      </c>
    </row>
    <row r="9" customFormat="1" s="2">
      <c r="B9" t="inlineStr">
        <is>
          <t>https://www.ic3.gov/Media/PDF/AnnualReport/2021State/StateReport.aspx#?s=47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inlineStr">
        <is>
          <t>NO MATCH</t>
        </is>
      </c>
      <c r="F9" s="3">
        <f>E9/E5</f>
        <v/>
      </c>
      <c r="G9">
        <f>ROUNDDOWN(F9*E6,0)</f>
        <v/>
      </c>
      <c r="H9" s="1" t="inlineStr">
        <is>
          <t>NO MATCH</t>
        </is>
      </c>
      <c r="I9" s="19">
        <f>H9/E9</f>
        <v/>
      </c>
      <c r="J9" s="19">
        <f>I9*G9</f>
        <v/>
      </c>
      <c r="K9" s="8" t="n"/>
      <c r="L9" s="3">
        <f>K9/E5</f>
        <v/>
      </c>
      <c r="M9" s="8">
        <f>ROUNDDOWN(L9*E6,0)</f>
        <v/>
      </c>
      <c r="N9" s="21" t="n"/>
      <c r="O9" s="21">
        <f>N9/K9</f>
        <v/>
      </c>
      <c r="P9" s="19">
        <f>M9*O9</f>
        <v/>
      </c>
    </row>
    <row r="10" customFormat="1" s="2">
      <c r="B10" t="inlineStr">
        <is>
          <t>https://www.ic3.gov/Media/PDF/AnnualReport/2021State/StateReport.aspx#?s=47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>
        <v>366</v>
      </c>
      <c r="F10" s="3">
        <f>E10/E5</f>
        <v/>
      </c>
      <c r="G10">
        <f>ROUNDDOWN(F10*E6,0)</f>
        <v/>
      </c>
      <c r="H10" s="20" t="n">
        <v>14569398</v>
      </c>
      <c r="I10" s="19">
        <f>H10/E10</f>
        <v/>
      </c>
      <c r="J10" s="19">
        <f>I10*G10</f>
        <v/>
      </c>
      <c r="K10" s="8" t="n">
        <v>162</v>
      </c>
      <c r="L10" s="3">
        <f>K10/E5</f>
        <v/>
      </c>
      <c r="M10" s="8">
        <f>ROUNDDOWN(L10*E6,0)</f>
        <v/>
      </c>
      <c r="N10" s="21" t="n">
        <v>5152816</v>
      </c>
      <c r="O10" s="21">
        <f>N10/K10</f>
        <v/>
      </c>
      <c r="P10" s="19">
        <f>M10*O10</f>
        <v/>
      </c>
    </row>
    <row r="11" customFormat="1" s="2">
      <c r="B11" t="inlineStr">
        <is>
          <t>https://www.ic3.gov/Media/PDF/AnnualReport/2021State/StateReport.aspx#?s=47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inlineStr">
        <is>
          <t>NO MATCH</t>
        </is>
      </c>
      <c r="F11" s="3">
        <f>E11/E5</f>
        <v/>
      </c>
      <c r="G11">
        <f>ROUNDDOWN(F11*E6,0)</f>
        <v/>
      </c>
      <c r="H11" s="1" t="inlineStr">
        <is>
          <t>NO MATCH</t>
        </is>
      </c>
      <c r="I11" s="19">
        <f>H11/E11</f>
        <v/>
      </c>
      <c r="J11" s="19">
        <f>I11*G11</f>
        <v/>
      </c>
      <c r="K11" s="8" t="n"/>
      <c r="L11" s="3">
        <f>K11/E5</f>
        <v/>
      </c>
      <c r="M11" s="8">
        <f>ROUNDDOWN(L11*E6,0)</f>
        <v/>
      </c>
      <c r="N11" s="21" t="n"/>
      <c r="O11" s="21">
        <f>N11/K11</f>
        <v/>
      </c>
      <c r="P11" s="19">
        <f>M11*O11</f>
        <v/>
      </c>
    </row>
    <row r="12" customFormat="1" s="2">
      <c r="B12" t="inlineStr">
        <is>
          <t>https://www.ic3.gov/Media/PDF/AnnualReport/2021State/StateReport.aspx#?s=47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>
        <v>29</v>
      </c>
      <c r="F12" s="3">
        <f>E12/E5</f>
        <v/>
      </c>
      <c r="G12">
        <f>ROUNDDOWN(F12*E6,0)</f>
        <v/>
      </c>
      <c r="H12" s="18" t="n">
        <v>0</v>
      </c>
      <c r="I12" s="19">
        <f>H12/E12</f>
        <v/>
      </c>
      <c r="J12" s="19">
        <f>I12*G12</f>
        <v/>
      </c>
      <c r="K12" s="8" t="n">
        <v>12</v>
      </c>
      <c r="L12" s="3">
        <f>K12/E5</f>
        <v/>
      </c>
      <c r="M12" s="8">
        <f>ROUNDDOWN(L12*E6,0)</f>
        <v/>
      </c>
      <c r="N12" s="20" t="n">
        <v>34078</v>
      </c>
      <c r="O12" s="21">
        <f>N12/K12</f>
        <v/>
      </c>
      <c r="P12" s="19">
        <f>M12*O12</f>
        <v/>
      </c>
    </row>
    <row r="13" customFormat="1" s="2">
      <c r="B13" t="inlineStr">
        <is>
          <t>https://www.ic3.gov/Media/PDF/AnnualReport/2021State/StateReport.aspx#?s=47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>
        <v>21</v>
      </c>
      <c r="F13" s="3">
        <f>E13/E5</f>
        <v/>
      </c>
      <c r="G13">
        <f>ROUNDDOWN(F13*E6,0)</f>
        <v/>
      </c>
      <c r="H13" s="20" t="n">
        <v>609113</v>
      </c>
      <c r="I13" s="19">
        <f>H13/E13</f>
        <v/>
      </c>
      <c r="J13" s="19">
        <f>I13*G13</f>
        <v/>
      </c>
      <c r="K13" s="8" t="n">
        <v>7</v>
      </c>
      <c r="L13" s="3">
        <f>K13/E5</f>
        <v/>
      </c>
      <c r="M13" s="8">
        <f>ROUNDDOWN(L13*E6,0)</f>
        <v/>
      </c>
      <c r="N13" s="20" t="n">
        <v>540618</v>
      </c>
      <c r="O13" s="21">
        <f>N13/K13</f>
        <v/>
      </c>
      <c r="P13" s="19">
        <f>M13*O13</f>
        <v/>
      </c>
    </row>
    <row r="14" customFormat="1" s="2">
      <c r="B14" t="inlineStr">
        <is>
          <t>https://www.ic3.gov/Media/PDF/AnnualReport/2021State/StateReport.aspx#?s=47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>
        <v>230</v>
      </c>
      <c r="F14" s="3">
        <f>E14/E5</f>
        <v/>
      </c>
      <c r="G14">
        <f>ROUNDDOWN(F14*E6,0)</f>
        <v/>
      </c>
      <c r="H14" s="20" t="n">
        <v>2996197</v>
      </c>
      <c r="I14" s="19">
        <f>H14/E14</f>
        <v/>
      </c>
      <c r="J14" s="19">
        <f>I14*G14</f>
        <v/>
      </c>
      <c r="K14" s="8" t="n">
        <v>96</v>
      </c>
      <c r="L14" s="3">
        <f>K14/E5</f>
        <v/>
      </c>
      <c r="M14" s="8">
        <f>ROUNDDOWN(L14*E6,0)</f>
        <v/>
      </c>
      <c r="N14" s="20" t="n">
        <v>1679416</v>
      </c>
      <c r="O14" s="21">
        <f>N14/K14</f>
        <v/>
      </c>
      <c r="P14" s="19">
        <f>M14*O14</f>
        <v/>
      </c>
    </row>
    <row r="15" customFormat="1" s="2">
      <c r="B15" t="inlineStr">
        <is>
          <t>https://www.ic3.gov/Media/PDF/AnnualReport/2021State/StateReport.aspx#?s=47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>
        <v>628</v>
      </c>
      <c r="F15" s="3">
        <f>E15/E5</f>
        <v/>
      </c>
      <c r="G15">
        <f>ROUNDDOWN(F15*E6,0)</f>
        <v/>
      </c>
      <c r="H15" s="20" t="n">
        <v>362852</v>
      </c>
      <c r="I15" s="19">
        <f>H15/E15</f>
        <v/>
      </c>
      <c r="J15" s="19">
        <f>I15*G15</f>
        <v/>
      </c>
      <c r="K15" s="8" t="n">
        <v>77</v>
      </c>
      <c r="L15" s="3">
        <f>K15/E5</f>
        <v/>
      </c>
      <c r="M15" s="8">
        <f>ROUNDDOWN(L15*E6,0)</f>
        <v/>
      </c>
      <c r="N15" s="20" t="n">
        <v>48710</v>
      </c>
      <c r="O15" s="21">
        <f>N15/K15</f>
        <v/>
      </c>
      <c r="P15" s="19">
        <f>M15*O15</f>
        <v/>
      </c>
    </row>
    <row r="16" customFormat="1" s="2">
      <c r="B16" t="inlineStr">
        <is>
          <t>https://www.ic3.gov/Media/PDF/AnnualReport/2021State/StateReport.aspx#?s=47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>
        <v>220</v>
      </c>
      <c r="F16" s="3">
        <f>E16/E5</f>
        <v/>
      </c>
      <c r="G16">
        <f>ROUNDDOWN(F16*E6,0)</f>
        <v/>
      </c>
      <c r="H16" s="20" t="n">
        <v>1053487</v>
      </c>
      <c r="I16" s="19">
        <f>H16/E16</f>
        <v/>
      </c>
      <c r="J16" s="19">
        <f>I16*G16</f>
        <v/>
      </c>
      <c r="K16" s="8" t="n">
        <v>23</v>
      </c>
      <c r="L16" s="3">
        <f>K16/E5</f>
        <v/>
      </c>
      <c r="M16" s="8">
        <f>ROUNDDOWN(L16*E6,0)</f>
        <v/>
      </c>
      <c r="N16" s="20" t="n">
        <v>125849</v>
      </c>
      <c r="O16" s="21">
        <f>N16/K16</f>
        <v/>
      </c>
      <c r="P16" s="19">
        <f>M16*O16</f>
        <v/>
      </c>
    </row>
    <row r="17" customFormat="1" s="2">
      <c r="B17" t="inlineStr">
        <is>
          <t>https://www.ic3.gov/Media/PDF/AnnualReport/2021State/StateReport.aspx#?s=47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inlineStr">
        <is>
          <t>NO MATCH</t>
        </is>
      </c>
      <c r="F17" s="3">
        <f>E17/E5</f>
        <v/>
      </c>
      <c r="G17">
        <f>ROUNDDOWN(F17*E6,0)</f>
        <v/>
      </c>
      <c r="H17" s="1" t="inlineStr">
        <is>
          <t>NO MATCH</t>
        </is>
      </c>
      <c r="I17" s="19">
        <f>H17/E17</f>
        <v/>
      </c>
      <c r="J17" s="19">
        <f>I17*G17</f>
        <v/>
      </c>
      <c r="K17" s="8" t="n"/>
      <c r="L17" s="3">
        <f>K17/E5</f>
        <v/>
      </c>
      <c r="M17" s="8">
        <f>ROUNDDOWN(L17*E6,0)</f>
        <v/>
      </c>
      <c r="N17" s="23" t="n"/>
      <c r="O17" s="21">
        <f>N17/K17</f>
        <v/>
      </c>
      <c r="P17" s="19">
        <f>M17*O17</f>
        <v/>
      </c>
    </row>
    <row r="18" customFormat="1" s="2">
      <c r="B18" t="inlineStr">
        <is>
          <t>https://www.ic3.gov/Media/PDF/AnnualReport/2021State/StateReport.aspx#?s=47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>
        <v>60</v>
      </c>
      <c r="F18" s="3">
        <f>E18/E5</f>
        <v/>
      </c>
      <c r="G18">
        <f>ROUNDDOWN(F18*E6,0)</f>
        <v/>
      </c>
      <c r="H18" s="20" t="n">
        <v>248288</v>
      </c>
      <c r="I18" s="19">
        <f>H18/E18</f>
        <v/>
      </c>
      <c r="J18" s="19">
        <f>I18*G18</f>
        <v/>
      </c>
      <c r="K18" s="8" t="n">
        <v>19</v>
      </c>
      <c r="L18" s="3">
        <f>K18/E5</f>
        <v/>
      </c>
      <c r="M18" s="8">
        <f>ROUNDDOWN(L18*E6,0)</f>
        <v/>
      </c>
      <c r="N18" s="20" t="n">
        <v>11863</v>
      </c>
      <c r="O18" s="21">
        <f>N18/K18</f>
        <v/>
      </c>
      <c r="P18" s="19">
        <f>M18*O18</f>
        <v/>
      </c>
    </row>
    <row r="19" customFormat="1" s="2">
      <c r="B19" t="inlineStr">
        <is>
          <t>https://www.ic3.gov/Media/PDF/AnnualReport/2021State/StateReport.aspx#?s=47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>
        <v>529</v>
      </c>
      <c r="F19" s="3">
        <f>E19/E5</f>
        <v/>
      </c>
      <c r="G19">
        <f>ROUNDDOWN(F19*E6,0)</f>
        <v/>
      </c>
      <c r="H19" s="20" t="n">
        <v>2898060</v>
      </c>
      <c r="I19" s="19">
        <f>H19/E19</f>
        <v/>
      </c>
      <c r="J19" s="19">
        <f>I19*G19</f>
        <v/>
      </c>
      <c r="K19" s="8" t="n">
        <v>135</v>
      </c>
      <c r="L19" s="3">
        <f>K19/E5</f>
        <v/>
      </c>
      <c r="M19" s="8">
        <f>ROUNDDOWN(L19*E6,0)</f>
        <v/>
      </c>
      <c r="N19" s="20" t="n">
        <v>942507</v>
      </c>
      <c r="O19" s="21">
        <f>N19/K19</f>
        <v/>
      </c>
      <c r="P19" s="19">
        <f>M19*O19</f>
        <v/>
      </c>
    </row>
    <row r="20" customFormat="1" s="2">
      <c r="B20" t="inlineStr">
        <is>
          <t>https://www.ic3.gov/Media/PDF/AnnualReport/2021State/StateReport.aspx#?s=47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>
        <v>162</v>
      </c>
      <c r="F20" s="3">
        <f>E20/E5</f>
        <v/>
      </c>
      <c r="G20">
        <f>ROUNDDOWN(F20*E6,0)</f>
        <v/>
      </c>
      <c r="H20" s="20" t="n">
        <v>7966687</v>
      </c>
      <c r="I20" s="19">
        <f>H20/E20</f>
        <v/>
      </c>
      <c r="J20" s="19">
        <f>I20*G20</f>
        <v/>
      </c>
      <c r="K20" s="8" t="n">
        <v>43</v>
      </c>
      <c r="L20" s="3">
        <f>K20/E5</f>
        <v/>
      </c>
      <c r="M20" s="8">
        <f>ROUNDDOWN(L20*E6,0)</f>
        <v/>
      </c>
      <c r="N20" s="20" t="n">
        <v>808506</v>
      </c>
      <c r="O20" s="21">
        <f>N20/K20</f>
        <v/>
      </c>
      <c r="P20" s="19">
        <f>M20*O20</f>
        <v/>
      </c>
    </row>
    <row r="21" customFormat="1" s="2">
      <c r="B21" t="inlineStr">
        <is>
          <t>https://www.ic3.gov/Media/PDF/AnnualReport/2021State/StateReport.aspx#?s=47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>
        <v>90</v>
      </c>
      <c r="F21" s="3">
        <f>E21/E5</f>
        <v/>
      </c>
      <c r="G21">
        <f>ROUNDDOWN(F21*E6,0)</f>
        <v/>
      </c>
      <c r="H21" s="20" t="n">
        <v>1157782</v>
      </c>
      <c r="I21" s="19">
        <f>H21/E21</f>
        <v/>
      </c>
      <c r="J21" s="19">
        <f>I21*G21</f>
        <v/>
      </c>
      <c r="K21" s="8" t="n">
        <v>18</v>
      </c>
      <c r="L21" s="3">
        <f>K21/E5</f>
        <v/>
      </c>
      <c r="M21" s="8">
        <f>ROUNDDOWN(L21*E6,0)</f>
        <v/>
      </c>
      <c r="N21" s="20" t="n">
        <v>743890</v>
      </c>
      <c r="O21" s="21">
        <f>N21/K21</f>
        <v/>
      </c>
      <c r="P21" s="19">
        <f>M21*O21</f>
        <v/>
      </c>
    </row>
    <row r="22" customFormat="1" s="2">
      <c r="B22" t="inlineStr">
        <is>
          <t>https://www.ic3.gov/Media/PDF/AnnualReport/2021State/StateReport.aspx#?s=47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>
        <v>11</v>
      </c>
      <c r="F22" s="3">
        <f>E22/E5</f>
        <v/>
      </c>
      <c r="G22">
        <f>ROUNDDOWN(F22*E6,0)</f>
        <v/>
      </c>
      <c r="H22" s="20" t="n">
        <v>8000</v>
      </c>
      <c r="I22" s="19">
        <f>H22/E22</f>
        <v/>
      </c>
      <c r="J22" s="19">
        <f>I22*G22</f>
        <v/>
      </c>
      <c r="K22" s="8" t="n">
        <v>9</v>
      </c>
      <c r="L22" s="3">
        <f>K22/E5</f>
        <v/>
      </c>
      <c r="M22" s="8">
        <f>ROUNDDOWN(L22*E6,0)</f>
        <v/>
      </c>
      <c r="N22" s="21" t="n">
        <v>0</v>
      </c>
      <c r="O22" s="21">
        <f>N22/K22</f>
        <v/>
      </c>
      <c r="P22" s="19">
        <f>M22*O22</f>
        <v/>
      </c>
    </row>
    <row r="23" customFormat="1" s="2">
      <c r="B23" t="inlineStr">
        <is>
          <t>https://www.ic3.gov/Media/PDF/AnnualReport/2021State/StateReport.aspx#?s=47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inlineStr">
        <is>
          <t>NO MATCH</t>
        </is>
      </c>
      <c r="F23" s="3">
        <f>E23/E5</f>
        <v/>
      </c>
      <c r="G23">
        <f>ROUNDDOWN(F23*E6,0)</f>
        <v/>
      </c>
      <c r="H23" s="1" t="inlineStr">
        <is>
          <t>NO MATCH</t>
        </is>
      </c>
      <c r="I23" s="19">
        <f>H23/E23</f>
        <v/>
      </c>
      <c r="J23" s="19">
        <f>I23*G23</f>
        <v/>
      </c>
      <c r="K23" s="8" t="n"/>
      <c r="L23" s="3">
        <f>K23/E5</f>
        <v/>
      </c>
      <c r="M23" s="8">
        <f>ROUNDDOWN(L23*E6,0)</f>
        <v/>
      </c>
      <c r="N23" s="21" t="n"/>
      <c r="O23" s="21">
        <f>N23/K23</f>
        <v/>
      </c>
      <c r="P23" s="19">
        <f>M23*O23</f>
        <v/>
      </c>
    </row>
    <row r="24" customFormat="1" s="2">
      <c r="B24" t="inlineStr">
        <is>
          <t>https://www.ic3.gov/Media/PDF/AnnualReport/2021State/StateReport.aspx#?s=47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inlineStr">
        <is>
          <t>NO MATCH</t>
        </is>
      </c>
      <c r="F24" s="3">
        <f>E24/E5</f>
        <v/>
      </c>
      <c r="G24">
        <f>ROUNDDOWN(F24*E6,0)</f>
        <v/>
      </c>
      <c r="H24" s="1" t="inlineStr">
        <is>
          <t>NO MATCH</t>
        </is>
      </c>
      <c r="I24" s="19">
        <f>H24/E24</f>
        <v/>
      </c>
      <c r="J24" s="19">
        <f>I24*G24</f>
        <v/>
      </c>
      <c r="K24" s="8" t="n"/>
      <c r="L24" s="3">
        <f>K24/E5</f>
        <v/>
      </c>
      <c r="M24" s="8">
        <f>ROUNDDOWN(L24*E6,0)</f>
        <v/>
      </c>
      <c r="N24" s="21" t="n"/>
      <c r="O24" s="21">
        <f>N24/K24</f>
        <v/>
      </c>
      <c r="P24" s="19">
        <f>M24*O24</f>
        <v/>
      </c>
    </row>
    <row r="25" customFormat="1" s="2">
      <c r="B25" t="inlineStr">
        <is>
          <t>https://www.ic3.gov/Media/PDF/AnnualReport/2021State/StateReport.aspx#?s=47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>
        <v>600</v>
      </c>
      <c r="F25" s="3">
        <f>E25/E5</f>
        <v/>
      </c>
      <c r="G25">
        <f>ROUNDDOWN(F25*E6,0)</f>
        <v/>
      </c>
      <c r="H25" s="20" t="n"/>
      <c r="I25" s="19">
        <f>H25/E25</f>
        <v/>
      </c>
      <c r="J25" s="19">
        <f>I25*G25</f>
        <v/>
      </c>
      <c r="K25" s="8" t="n">
        <v>471</v>
      </c>
      <c r="L25" s="3">
        <f>K25/E5</f>
        <v/>
      </c>
      <c r="M25" s="8">
        <f>ROUNDDOWN(L25*E6,0)</f>
        <v/>
      </c>
      <c r="N25" s="21" t="n">
        <v>0</v>
      </c>
      <c r="O25" s="21">
        <f>N25/K25</f>
        <v/>
      </c>
      <c r="P25" s="19">
        <f>M25*O25</f>
        <v/>
      </c>
    </row>
    <row r="26" customFormat="1" s="2">
      <c r="B26" t="inlineStr">
        <is>
          <t>https://www.ic3.gov/Media/PDF/AnnualReport/2021State/StateReport.aspx#?s=47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>
        <v>1429</v>
      </c>
      <c r="F26" s="3">
        <f>E26/E5</f>
        <v/>
      </c>
      <c r="G26">
        <f>ROUNDDOWN(F26*E6,0)</f>
        <v/>
      </c>
      <c r="H26" s="20" t="n">
        <v>3094120</v>
      </c>
      <c r="I26" s="19">
        <f>H26/E26</f>
        <v/>
      </c>
      <c r="J26" s="19">
        <f>I26*G26</f>
        <v/>
      </c>
      <c r="K26" s="8" t="n">
        <v>479</v>
      </c>
      <c r="L26" s="3">
        <f>K26/E5</f>
        <v/>
      </c>
      <c r="M26" s="8">
        <f>ROUNDDOWN(L26*E6,0)</f>
        <v/>
      </c>
      <c r="N26" s="20" t="n">
        <v>1503558</v>
      </c>
      <c r="O26" s="21">
        <f>N26/K26</f>
        <v/>
      </c>
      <c r="P26" s="19">
        <f>M26*O26</f>
        <v/>
      </c>
    </row>
    <row r="27" customFormat="1" s="2">
      <c r="B27" t="inlineStr">
        <is>
          <t>https://www.ic3.gov/Media/PDF/AnnualReport/2021State/StateReport.aspx#?s=47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>
        <v>148</v>
      </c>
      <c r="F27" s="3">
        <f>E27/E5</f>
        <v/>
      </c>
      <c r="G27">
        <f>ROUNDDOWN(F27*E6,0)</f>
        <v/>
      </c>
      <c r="H27" s="20" t="n">
        <v>1341046</v>
      </c>
      <c r="I27" s="19">
        <f>H27/E27</f>
        <v/>
      </c>
      <c r="J27" s="19">
        <f>I27*G27</f>
        <v/>
      </c>
      <c r="K27" s="8" t="n">
        <v>66</v>
      </c>
      <c r="L27" s="3">
        <f>K27/E5</f>
        <v/>
      </c>
      <c r="M27" s="8">
        <f>ROUNDDOWN(L27*E6,0)</f>
        <v/>
      </c>
      <c r="N27" s="20" t="n">
        <v>100517</v>
      </c>
      <c r="O27" s="21">
        <f>N27/K27</f>
        <v/>
      </c>
      <c r="P27" s="19">
        <f>M27*O27</f>
        <v/>
      </c>
    </row>
    <row r="28" customFormat="1" s="2">
      <c r="B28" t="inlineStr">
        <is>
          <t>https://www.ic3.gov/Media/PDF/AnnualReport/2021State/StateReport.aspx#?s=47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>
        <v>86</v>
      </c>
      <c r="F28" s="3">
        <f>E28/E5</f>
        <v/>
      </c>
      <c r="G28">
        <f>ROUNDDOWN(F28*E6,0)</f>
        <v/>
      </c>
      <c r="H28" s="20" t="n">
        <v>2402040</v>
      </c>
      <c r="I28" s="19">
        <f>H28/E28</f>
        <v/>
      </c>
      <c r="J28" s="19">
        <f>I28*G28</f>
        <v/>
      </c>
      <c r="K28" s="8" t="n">
        <v>57</v>
      </c>
      <c r="L28" s="3">
        <f>K28/E5</f>
        <v/>
      </c>
      <c r="M28" s="8">
        <f>ROUNDDOWN(L28*E6,0)</f>
        <v/>
      </c>
      <c r="N28" s="20" t="n">
        <v>1566851</v>
      </c>
      <c r="O28" s="21">
        <f>N28/K28</f>
        <v/>
      </c>
      <c r="P28" s="19">
        <f>M28*O28</f>
        <v/>
      </c>
    </row>
    <row r="29" customFormat="1" s="2">
      <c r="B29" t="inlineStr">
        <is>
          <t>https://www.ic3.gov/Media/PDF/AnnualReport/2021State/StateReport.aspx#?s=47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>
        <v>742</v>
      </c>
      <c r="F29" s="3">
        <f>E29/E5</f>
        <v/>
      </c>
      <c r="G29">
        <f>ROUNDDOWN(F29*E6,0)</f>
        <v/>
      </c>
      <c r="H29" s="20" t="n">
        <v>8559707</v>
      </c>
      <c r="I29" s="19">
        <f>H29/E29</f>
        <v/>
      </c>
      <c r="J29" s="19">
        <f>I29*G29</f>
        <v/>
      </c>
      <c r="K29" s="8" t="n">
        <v>302</v>
      </c>
      <c r="L29" s="3">
        <f>K29/E5</f>
        <v/>
      </c>
      <c r="M29" s="8">
        <f>ROUNDDOWN(L29*E6,0)</f>
        <v/>
      </c>
      <c r="N29" s="20" t="n">
        <v>698113</v>
      </c>
      <c r="O29" s="21">
        <f>N29/K29</f>
        <v/>
      </c>
      <c r="P29" s="19">
        <f>M29*O29</f>
        <v/>
      </c>
    </row>
    <row r="30" customFormat="1" s="2">
      <c r="B30" t="inlineStr">
        <is>
          <t>https://www.ic3.gov/Media/PDF/AnnualReport/2021State/StateReport.aspx#?s=47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>
        <v>438</v>
      </c>
      <c r="F30" s="3">
        <f>E30/E5</f>
        <v/>
      </c>
      <c r="G30">
        <f>ROUNDDOWN(F30*E6,0)</f>
        <v/>
      </c>
      <c r="H30" s="20" t="n">
        <v>671637</v>
      </c>
      <c r="I30" s="19">
        <f>H30/E30</f>
        <v/>
      </c>
      <c r="J30" s="19">
        <f>I30*G30</f>
        <v/>
      </c>
      <c r="K30" s="8" t="n">
        <v>52</v>
      </c>
      <c r="L30" s="3">
        <f>K30/E5</f>
        <v/>
      </c>
      <c r="M30" s="8">
        <f>ROUNDDOWN(L30*E6,0)</f>
        <v/>
      </c>
      <c r="N30" s="20" t="n">
        <v>119371</v>
      </c>
      <c r="O30" s="21">
        <f>N30/K30</f>
        <v/>
      </c>
      <c r="P30" s="19">
        <f>M30*O30</f>
        <v/>
      </c>
    </row>
    <row r="31" customFormat="1" s="2">
      <c r="B31" t="inlineStr">
        <is>
          <t>https://www.ic3.gov/Media/PDF/AnnualReport/2021State/StateReport.aspx#?s=47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>
        <v>47</v>
      </c>
      <c r="F31" s="3">
        <f>E31/E5</f>
        <v/>
      </c>
      <c r="G31">
        <f>ROUNDDOWN(F31*E6,0)</f>
        <v/>
      </c>
      <c r="H31" s="20" t="n">
        <v>206000</v>
      </c>
      <c r="I31" s="19">
        <f>H31/E31</f>
        <v/>
      </c>
      <c r="J31" s="19">
        <f>I31*G31</f>
        <v/>
      </c>
      <c r="K31" s="8" t="n">
        <v>1</v>
      </c>
      <c r="L31" s="3">
        <f>K31/E5</f>
        <v/>
      </c>
      <c r="M31" s="8">
        <f>ROUNDDOWN(L31*E6,0)</f>
        <v/>
      </c>
      <c r="N31" s="21" t="n">
        <v>0</v>
      </c>
      <c r="O31" s="21">
        <f>N31/K31</f>
        <v/>
      </c>
      <c r="P31" s="19">
        <f>M31*O31</f>
        <v/>
      </c>
    </row>
    <row r="32" customFormat="1" s="2">
      <c r="B32" t="inlineStr">
        <is>
          <t>https://www.ic3.gov/Media/PDF/AnnualReport/2021State/StateReport.aspx#?s=47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>
        <v>173</v>
      </c>
      <c r="F32" s="3">
        <f>E32/E5</f>
        <v/>
      </c>
      <c r="G32">
        <f>ROUNDDOWN(F32*E6,0)</f>
        <v/>
      </c>
      <c r="H32" s="20" t="n">
        <v>3819229</v>
      </c>
      <c r="I32" s="19">
        <f>H32/E32</f>
        <v/>
      </c>
      <c r="J32" s="19">
        <f>I32*G32</f>
        <v/>
      </c>
      <c r="K32" s="8" t="n">
        <v>72</v>
      </c>
      <c r="L32" s="3">
        <f>K32/E5</f>
        <v/>
      </c>
      <c r="M32" s="8">
        <f>ROUNDDOWN(L32*E6,0)</f>
        <v/>
      </c>
      <c r="N32" s="20" t="n">
        <v>775312</v>
      </c>
      <c r="O32" s="21">
        <f>N32/K32</f>
        <v/>
      </c>
      <c r="P32" s="19">
        <f>M32*O32</f>
        <v/>
      </c>
    </row>
    <row r="33" customFormat="1" s="2">
      <c r="B33" t="inlineStr">
        <is>
          <t>https://www.ic3.gov/Media/PDF/AnnualReport/2021State/StateReport.aspx#?s=47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inlineStr">
        <is>
          <t>NO MATCH</t>
        </is>
      </c>
      <c r="F33" s="3">
        <f>E33/E5</f>
        <v/>
      </c>
      <c r="G33">
        <f>ROUNDDOWN(F33*E6,0)</f>
        <v/>
      </c>
      <c r="H33" s="1" t="inlineStr">
        <is>
          <t>NO MATCH</t>
        </is>
      </c>
      <c r="I33" s="19">
        <f>H33/E33</f>
        <v/>
      </c>
      <c r="J33" s="19">
        <f>I33*G33</f>
        <v/>
      </c>
      <c r="K33" s="8" t="n"/>
      <c r="L33" s="3">
        <f>K33/E5</f>
        <v/>
      </c>
      <c r="M33" s="8">
        <f>ROUNDDOWN(L33*E6,0)</f>
        <v/>
      </c>
      <c r="N33" s="20" t="n"/>
      <c r="O33" s="21">
        <f>N33/K33</f>
        <v/>
      </c>
      <c r="P33" s="19">
        <f>M33*O33</f>
        <v/>
      </c>
    </row>
    <row r="34" customFormat="1" s="2">
      <c r="B34" t="inlineStr">
        <is>
          <t>https://www.ic3.gov/Media/PDF/AnnualReport/2021State/StateReport.aspx#?s=47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>
        <v>279</v>
      </c>
      <c r="F34" s="3">
        <f>E34/E5</f>
        <v/>
      </c>
      <c r="G34">
        <f>ROUNDDOWN(F34*E6,0)</f>
        <v/>
      </c>
      <c r="H34" s="20" t="n">
        <v>1105303</v>
      </c>
      <c r="I34" s="19">
        <f>H34/E34</f>
        <v/>
      </c>
      <c r="J34" s="19">
        <f>I34*G34</f>
        <v/>
      </c>
      <c r="K34" s="8" t="n">
        <v>49</v>
      </c>
      <c r="L34" s="3">
        <f>K34/E5</f>
        <v/>
      </c>
      <c r="M34" s="8">
        <f>ROUNDDOWN(L34*E6,0)</f>
        <v/>
      </c>
      <c r="N34" s="20" t="n">
        <v>138623</v>
      </c>
      <c r="O34" s="21">
        <f>N34/K34</f>
        <v/>
      </c>
      <c r="P34" s="19">
        <f>M34*O34</f>
        <v/>
      </c>
    </row>
    <row r="35" customFormat="1" s="2">
      <c r="B35" t="inlineStr">
        <is>
          <t>https://www.ic3.gov/Media/PDF/AnnualReport/2021State/StateReport.aspx#?s=47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>
        <v>418</v>
      </c>
      <c r="F35" s="3">
        <f>E35/E5</f>
        <v/>
      </c>
      <c r="G35">
        <f>ROUNDDOWN(F35*E6,0)</f>
        <v/>
      </c>
      <c r="H35" s="20" t="n">
        <v>15980875</v>
      </c>
      <c r="I35" s="19">
        <f>H35/E35</f>
        <v/>
      </c>
      <c r="J35" s="19">
        <f>I35*G35</f>
        <v/>
      </c>
      <c r="K35" s="8" t="n">
        <v>75</v>
      </c>
      <c r="L35" s="3">
        <f>K35/E5</f>
        <v/>
      </c>
      <c r="M35" s="8">
        <f>ROUNDDOWN(L35*E6,0)</f>
        <v/>
      </c>
      <c r="N35" s="20" t="n">
        <v>511886</v>
      </c>
      <c r="O35" s="21">
        <f>N35/K35</f>
        <v/>
      </c>
      <c r="P35" s="19">
        <f>M35*O35</f>
        <v/>
      </c>
    </row>
    <row r="36" customFormat="1" s="2">
      <c r="B36" t="inlineStr">
        <is>
          <t>https://www.ic3.gov/Media/PDF/AnnualReport/2021State/StateReport.aspx#?s=47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>
        <v>172</v>
      </c>
      <c r="F36" s="3">
        <f>E36/E5</f>
        <v/>
      </c>
      <c r="G36">
        <f>ROUNDDOWN(F36*E6,0)</f>
        <v/>
      </c>
      <c r="H36" s="20" t="n">
        <v>228032</v>
      </c>
      <c r="I36" s="19">
        <f>H36/E36</f>
        <v/>
      </c>
      <c r="J36" s="19">
        <f>I36*G36</f>
        <v/>
      </c>
      <c r="K36" s="8" t="n">
        <v>101</v>
      </c>
      <c r="L36" s="3">
        <f>K36/E5</f>
        <v/>
      </c>
      <c r="M36" s="8">
        <f>ROUNDDOWN(L36*E6,0)</f>
        <v/>
      </c>
      <c r="N36" s="20" t="n">
        <v>4104</v>
      </c>
      <c r="O36" s="21">
        <f>N36/K36</f>
        <v/>
      </c>
      <c r="P36" s="19">
        <f>M36*O36</f>
        <v/>
      </c>
    </row>
    <row r="37">
      <c r="J37" s="19">
        <f>I37*G37</f>
        <v/>
      </c>
      <c r="L37" s="3" t="n"/>
      <c r="M37" s="3" t="n"/>
      <c r="N37" s="21" t="n"/>
      <c r="O37" s="21" t="n"/>
    </row>
    <row r="38">
      <c r="E38" s="1">
        <f>SUM(E7:E36)</f>
        <v/>
      </c>
      <c r="G38">
        <f>SUM(G8:G36)</f>
        <v/>
      </c>
      <c r="I38" s="19">
        <f>H38/E38</f>
        <v/>
      </c>
      <c r="J38" s="19">
        <f>I38*G38</f>
        <v/>
      </c>
      <c r="L38" s="3" t="n"/>
      <c r="M38" s="3" t="n"/>
      <c r="N38" s="21" t="n"/>
      <c r="O38" s="21" t="n"/>
    </row>
    <row r="39">
      <c r="C39" t="inlineStr">
        <is>
          <t xml:space="preserve">Some category names changed from 2022 to 2021.  </t>
        </is>
      </c>
    </row>
    <row r="40">
      <c r="C40" t="inlineStr">
        <is>
          <t>If the names didn't line up with the later year, I dropped the data.</t>
        </is>
      </c>
    </row>
    <row r="41">
      <c r="C41" t="inlineStr">
        <is>
          <t xml:space="preserve">A zero value on the input means 0; </t>
        </is>
      </c>
    </row>
    <row r="42">
      <c r="C42" t="inlineStr">
        <is>
          <t>Trying to establish figures of confidence intervals.</t>
        </is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</hyperlink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3:P21"/>
  <sheetViews>
    <sheetView workbookViewId="0">
      <selection activeCell="F5" sqref="F5"/>
    </sheetView>
  </sheetViews>
  <sheetFormatPr baseColWidth="8" defaultRowHeight="14.4"/>
  <cols>
    <col width="5" bestFit="1" customWidth="1" min="2" max="2"/>
    <col width="13.44140625" bestFit="1" customWidth="1" min="3" max="3"/>
    <col width="6.5546875" bestFit="1" customWidth="1" min="5" max="5"/>
    <col width="11" bestFit="1" customWidth="1" min="6" max="6"/>
    <col width="18.6640625" bestFit="1" customWidth="1" min="7" max="7"/>
    <col width="8.21875" bestFit="1" customWidth="1" min="8" max="8"/>
    <col width="7.5546875" bestFit="1" customWidth="1" min="9" max="9"/>
    <col width="11.6640625" bestFit="1" customWidth="1" min="10" max="10"/>
    <col width="20.21875" bestFit="1" customWidth="1" min="11" max="11"/>
    <col width="8.5546875" bestFit="1" customWidth="1" min="12" max="12"/>
    <col width="33.88671875" bestFit="1" customWidth="1" min="13" max="13"/>
    <col width="13.88671875" bestFit="1" customWidth="1" min="14" max="14"/>
    <col width="12" bestFit="1" customWidth="1" min="15" max="15"/>
    <col width="4.21875" bestFit="1" customWidth="1" min="16" max="16"/>
  </cols>
  <sheetData>
    <row r="3">
      <c r="F3" s="17" t="inlineStr">
        <is>
          <t>System Intrusion Group</t>
        </is>
      </c>
      <c r="K3" s="17" t="inlineStr">
        <is>
          <t>Threat to Personnel via Network</t>
        </is>
      </c>
      <c r="N3" s="17" t="inlineStr">
        <is>
          <t>Theft of Data via Network</t>
        </is>
      </c>
    </row>
    <row r="4">
      <c r="B4" t="inlineStr">
        <is>
          <t>Year</t>
        </is>
      </c>
      <c r="C4" t="inlineStr">
        <is>
          <t>City Population</t>
        </is>
      </c>
      <c r="E4" t="inlineStr">
        <is>
          <t>Crimes</t>
        </is>
      </c>
      <c r="F4" t="inlineStr">
        <is>
          <t>Data Breach</t>
        </is>
      </c>
      <c r="G4" t="inlineStr">
        <is>
          <t>Personal Data Breach</t>
        </is>
      </c>
      <c r="H4" t="inlineStr">
        <is>
          <t>Malware</t>
        </is>
      </c>
      <c r="I4" t="inlineStr">
        <is>
          <t>Phishing</t>
        </is>
      </c>
      <c r="J4" t="inlineStr">
        <is>
          <t>Ransomware</t>
        </is>
      </c>
      <c r="K4" t="inlineStr">
        <is>
          <t>Crimes Against Children</t>
        </is>
      </c>
      <c r="L4" t="inlineStr">
        <is>
          <t>Extortion</t>
        </is>
      </c>
      <c r="M4" t="inlineStr">
        <is>
          <t>Threats/Stalking/Harassment/Terrorism</t>
        </is>
      </c>
      <c r="N4" t="inlineStr">
        <is>
          <t>IPR/Counterfeit</t>
        </is>
      </c>
      <c r="O4" t="inlineStr">
        <is>
          <t>Identify Theft</t>
        </is>
      </c>
      <c r="P4" t="inlineStr">
        <is>
          <t>BEC</t>
        </is>
      </c>
    </row>
    <row r="5">
      <c r="B5" t="n">
        <v>2016</v>
      </c>
      <c r="C5" s="1">
        <f>'2016_IC3 State to City'!$E$6</f>
        <v/>
      </c>
      <c r="F5">
        <f>'2016_IC3 State to City'!$G$13</f>
        <v/>
      </c>
      <c r="G5" s="1">
        <f>'2016_IC3 State to City'!$G$29</f>
        <v/>
      </c>
      <c r="H5">
        <f>'2016_IC3 State to City'!$G$22</f>
        <v/>
      </c>
      <c r="I5" s="1">
        <f>'2016_IC3 State to City'!$G$30</f>
        <v/>
      </c>
      <c r="J5" s="1">
        <f>'2016_IC3 State to City'!$G$31</f>
        <v/>
      </c>
      <c r="K5" s="1">
        <f>'2016_IC3 State to City'!$G$12</f>
        <v/>
      </c>
      <c r="L5" s="1">
        <f>'2016_IC3 State to City'!$G$15</f>
        <v/>
      </c>
      <c r="M5" s="1">
        <f>'2016_IC3 State to City'!$G$36</f>
        <v/>
      </c>
      <c r="N5" s="1">
        <f>'2016_IC3 State to City'!$G$18</f>
        <v/>
      </c>
      <c r="O5" s="1">
        <f>'2016_IC3 State to City'!$G$19</f>
        <v/>
      </c>
      <c r="P5" s="1">
        <f>'2016_IC3 State to City'!$G$8</f>
        <v/>
      </c>
    </row>
    <row r="6">
      <c r="B6" t="n">
        <v>2017</v>
      </c>
      <c r="C6" s="1">
        <f>'2017_IC3 State to City'!$E$6</f>
        <v/>
      </c>
      <c r="D6" s="1">
        <f>C6-C5</f>
        <v/>
      </c>
      <c r="F6" s="1">
        <f>'2017_IC3 State to City'!$G$13</f>
        <v/>
      </c>
      <c r="G6" s="1">
        <f>'2017_IC3 State to City'!$G$13</f>
        <v/>
      </c>
      <c r="H6" s="1">
        <f>'2017_IC3 State to City'!$G$22</f>
        <v/>
      </c>
      <c r="I6" s="1">
        <f>'2017_IC3 State to City'!$G$30</f>
        <v/>
      </c>
      <c r="J6" s="1">
        <f>'2017_IC3 State to City'!$G$31</f>
        <v/>
      </c>
      <c r="K6" s="1">
        <f>'2017_IC3 State to City'!$G$12</f>
        <v/>
      </c>
      <c r="L6" s="1">
        <f>'2017_IC3 State to City'!$G$15</f>
        <v/>
      </c>
      <c r="M6" s="1">
        <f>'2017_IC3 State to City'!$G$36</f>
        <v/>
      </c>
      <c r="N6" s="1">
        <f>'2017_IC3 State to City'!$G$18</f>
        <v/>
      </c>
      <c r="O6" s="1">
        <f>'2017_IC3 State to City'!$G$19</f>
        <v/>
      </c>
      <c r="P6" s="1">
        <f>'2017_IC3 State to City'!$G$8</f>
        <v/>
      </c>
    </row>
    <row r="7">
      <c r="B7" t="n">
        <v>2018</v>
      </c>
      <c r="C7" s="1">
        <f>'2018_IC3 State to City'!$E$6</f>
        <v/>
      </c>
      <c r="D7" s="1">
        <f>C7-C6</f>
        <v/>
      </c>
      <c r="F7" s="1">
        <f>'2018_IC3 State to City'!$G$13</f>
        <v/>
      </c>
      <c r="G7" s="1">
        <f>'2018_IC3 State to City'!$G$29</f>
        <v/>
      </c>
      <c r="H7" s="1">
        <f>'2018_IC3 State to City'!$G$22</f>
        <v/>
      </c>
      <c r="I7" s="1">
        <f>'2018_IC3 State to City'!$G$30</f>
        <v/>
      </c>
      <c r="J7" s="1">
        <f>'2018_IC3 State to City'!$G$31</f>
        <v/>
      </c>
      <c r="K7" s="1">
        <f>'2018_IC3 State to City'!$G$12</f>
        <v/>
      </c>
      <c r="L7" s="1">
        <f>'2018_IC3 State to City'!$G$15</f>
        <v/>
      </c>
      <c r="M7" s="1">
        <f>'2018_IC3 State to City'!$G$36</f>
        <v/>
      </c>
      <c r="N7" s="1">
        <f>'2018_IC3 State to City'!$G$18</f>
        <v/>
      </c>
      <c r="O7" s="1">
        <f>'2018_IC3 State to City'!$G$19</f>
        <v/>
      </c>
      <c r="P7" s="1">
        <f>'2018_IC3 State to City'!$G$8</f>
        <v/>
      </c>
    </row>
    <row r="8">
      <c r="B8" t="n">
        <v>2019</v>
      </c>
      <c r="C8" s="1">
        <f>'2019_IC3 State to City'!$E$6</f>
        <v/>
      </c>
      <c r="D8" s="1">
        <f>C8-C7</f>
        <v/>
      </c>
      <c r="F8">
        <f>ROUNDDOWN(E8*D1,0)</f>
        <v/>
      </c>
      <c r="G8" s="1">
        <f>'2019_IC3 State to City'!$G$29</f>
        <v/>
      </c>
      <c r="H8" s="1">
        <f>'2019_IC3 State to City'!$G$22</f>
        <v/>
      </c>
      <c r="I8" s="1">
        <f>'2019_IC3 State to City'!$G$30</f>
        <v/>
      </c>
      <c r="J8" s="1">
        <f>'2019_IC3 State to City'!$G$31</f>
        <v/>
      </c>
      <c r="K8" s="1">
        <f>'2019_IC3 State to City'!$G$12</f>
        <v/>
      </c>
      <c r="L8" s="1">
        <f>'2019_IC3 State to City'!$G$15</f>
        <v/>
      </c>
      <c r="M8" s="1">
        <f>'2019_IC3 State to City'!$G$36</f>
        <v/>
      </c>
      <c r="N8" s="1">
        <f>'2019_IC3 State to City'!$G$18</f>
        <v/>
      </c>
      <c r="O8" s="1">
        <f>'2019_IC3 State to City'!$G$19</f>
        <v/>
      </c>
      <c r="P8" s="1">
        <f>'2019_IC3 State to City'!$G$8</f>
        <v/>
      </c>
    </row>
    <row r="9">
      <c r="B9" t="n">
        <v>2020</v>
      </c>
      <c r="C9" s="1">
        <f>'2020_IC3 State to City'!$E$6</f>
        <v/>
      </c>
      <c r="D9" s="1">
        <f>C9-C8</f>
        <v/>
      </c>
      <c r="F9" s="1">
        <f>'2020_IC3 State to City'!$G$13</f>
        <v/>
      </c>
      <c r="G9" s="1">
        <f>'2020_IC3 State to City'!$G$29</f>
        <v/>
      </c>
      <c r="H9" s="1">
        <f>'2020_IC3 State to City'!$G$22</f>
        <v/>
      </c>
      <c r="I9" s="1">
        <f>'2020_IC3 State to City'!$G$30</f>
        <v/>
      </c>
      <c r="J9" s="1">
        <f>'2020_IC3 State to City'!$G$31</f>
        <v/>
      </c>
      <c r="K9" s="1">
        <f>'2020_IC3 State to City'!$G$12</f>
        <v/>
      </c>
      <c r="L9" s="1">
        <f>'2020_IC3 State to City'!$G$15</f>
        <v/>
      </c>
      <c r="M9" s="1">
        <f>'2020_IC3 State to City'!$G$36</f>
        <v/>
      </c>
      <c r="N9" s="1">
        <f>'2020_IC3 State to City'!$G$18</f>
        <v/>
      </c>
      <c r="O9" s="1">
        <f>'2020_IC3 State to City'!$G$19</f>
        <v/>
      </c>
      <c r="P9" s="1">
        <f>'2020_IC3 State to City'!$G$8</f>
        <v/>
      </c>
    </row>
    <row r="10">
      <c r="B10" t="n">
        <v>2021</v>
      </c>
      <c r="C10" s="1">
        <f>'2021_IC3 State to City'!$E$6</f>
        <v/>
      </c>
      <c r="D10" s="1">
        <f>C10-C9</f>
        <v/>
      </c>
      <c r="F10" s="1">
        <f>'2021_IC3 State to City'!$G$13</f>
        <v/>
      </c>
      <c r="G10" s="1">
        <f>'2021_IC3 State to City'!$G$29</f>
        <v/>
      </c>
      <c r="H10" s="1">
        <f>'2021_IC3 State to City'!$G$22</f>
        <v/>
      </c>
      <c r="I10" s="1">
        <f>'2021_IC3 State to City'!$G$30</f>
        <v/>
      </c>
      <c r="J10" s="1">
        <f>'2021_IC3 State to City'!$G$31</f>
        <v/>
      </c>
      <c r="K10" s="1">
        <f>'2021_IC3 State to City'!$G$12</f>
        <v/>
      </c>
      <c r="L10">
        <f>ROUNDDOWN(K10*J1,0)</f>
        <v/>
      </c>
      <c r="M10" s="1">
        <f>'2021_IC3 State to City'!$G$36</f>
        <v/>
      </c>
      <c r="N10" s="1">
        <f>'2021_IC3 State to City'!$G$18</f>
        <v/>
      </c>
      <c r="O10" s="1">
        <f>'2021_IC3 State to City'!$G$19</f>
        <v/>
      </c>
      <c r="P10" s="1">
        <f>'2021_IC3 State to City'!$G$8</f>
        <v/>
      </c>
    </row>
    <row r="11">
      <c r="B11" t="n">
        <v>2022</v>
      </c>
      <c r="C11" s="1">
        <f>'2022_IC3 State to City'!$E$6</f>
        <v/>
      </c>
      <c r="D11" s="1">
        <f>C11-C10</f>
        <v/>
      </c>
      <c r="F11" s="1">
        <f>'2022_IC3 State to City'!$H$13</f>
        <v/>
      </c>
      <c r="G11" s="1">
        <f>'2022_IC3 State to City'!$H$29</f>
        <v/>
      </c>
      <c r="H11" s="1">
        <f>'2022_IC3 State to City'!$H$22</f>
        <v/>
      </c>
      <c r="I11" s="1">
        <f>'2022_IC3 State to City'!$H$30</f>
        <v/>
      </c>
      <c r="J11" s="1">
        <f>'2022_IC3 State to City'!$H$31</f>
        <v/>
      </c>
      <c r="K11" s="1">
        <f>'2022_IC3 State to City'!$H$12</f>
        <v/>
      </c>
      <c r="L11" s="1">
        <f>'2022_IC3 State to City'!$H$15</f>
        <v/>
      </c>
      <c r="M11" s="1">
        <f>'2022_IC3 State to City'!$H$36</f>
        <v/>
      </c>
      <c r="N11" s="1">
        <f>'2022_IC3 State to City'!$H$18</f>
        <v/>
      </c>
      <c r="O11" s="1">
        <f>'2022_IC3 State to City'!$H$19</f>
        <v/>
      </c>
      <c r="P11" s="1">
        <f>'2022_IC3 State to City'!$H$8</f>
        <v/>
      </c>
    </row>
    <row r="14">
      <c r="A14" t="inlineStr">
        <is>
          <t>Average deviation</t>
        </is>
      </c>
      <c r="D14">
        <f>AVEDEV(C5:C11)</f>
        <v/>
      </c>
    </row>
    <row r="15">
      <c r="A15" t="inlineStr">
        <is>
          <t>Projected population</t>
        </is>
      </c>
      <c r="D15" s="1">
        <f>C11+D14</f>
        <v/>
      </c>
    </row>
    <row r="16">
      <c r="A16" t="inlineStr">
        <is>
          <t>Projected population High</t>
        </is>
      </c>
      <c r="D16">
        <f>ROUNDDOWN(C11+(D14*1.25),0)</f>
        <v/>
      </c>
    </row>
    <row r="17">
      <c r="A17" t="inlineStr">
        <is>
          <t>Projected poplulation Low</t>
        </is>
      </c>
      <c r="D17">
        <f>ROUNDDOWN(C11+(D14*0.75),0)</f>
        <v/>
      </c>
    </row>
    <row r="19">
      <c r="A19" t="inlineStr">
        <is>
          <t>Chance of decrease</t>
        </is>
      </c>
      <c r="D19">
        <f>2/6</f>
        <v/>
      </c>
    </row>
    <row r="21">
      <c r="D21" s="1">
        <f>MEDIAN(C5:C11)</f>
        <v/>
      </c>
    </row>
  </sheetData>
  <mergeCells count="3">
    <mergeCell ref="F3:J3"/>
    <mergeCell ref="N3:P3"/>
    <mergeCell ref="K3:M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4:Q38"/>
  <sheetViews>
    <sheetView tabSelected="1" topLeftCell="L1" workbookViewId="0">
      <selection activeCell="J29" sqref="J29"/>
    </sheetView>
  </sheetViews>
  <sheetFormatPr baseColWidth="8" defaultRowHeight="14.4"/>
  <cols>
    <col width="70.109375" customWidth="1" min="2" max="2"/>
    <col width="27.5546875" bestFit="1" customWidth="1" min="3" max="3"/>
    <col width="17.6640625" customWidth="1" min="4" max="4"/>
    <col width="8.88671875" customWidth="1" min="5" max="5"/>
    <col width="24.6640625" customWidth="1" min="6" max="6"/>
    <col width="48.88671875" customWidth="1" min="7" max="7"/>
    <col width="55.5546875" customWidth="1" min="8" max="8"/>
    <col width="41.88671875" customWidth="1" style="18" min="9" max="9"/>
    <col width="44" customWidth="1" style="19" min="10" max="10"/>
    <col width="56.21875" customWidth="1" min="11" max="11"/>
    <col width="34.21875" bestFit="1" customWidth="1" style="8" min="12" max="12"/>
    <col width="34.21875" customWidth="1" style="8" min="13" max="14"/>
    <col width="44.6640625" customWidth="1" min="15" max="16"/>
    <col width="37.77734375" bestFit="1" customWidth="1" min="17" max="17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t="inlineStr">
        <is>
          <t>Estimated In-City Victims, 2022, As if IC3 Victim Complaint</t>
        </is>
      </c>
      <c r="I4" s="18" t="inlineStr">
        <is>
          <t>State Victim Loss</t>
        </is>
      </c>
      <c r="J4" s="19" t="inlineStr">
        <is>
          <t>Even Loss per State Victim Count</t>
        </is>
      </c>
      <c r="K4" t="inlineStr">
        <is>
          <t>Projected In-City Victim Loss</t>
        </is>
      </c>
      <c r="L4" s="8" t="inlineStr">
        <is>
          <t>State Subject (Perpetrator) Count</t>
        </is>
      </c>
      <c r="M4" s="8" t="inlineStr">
        <is>
          <t>Subject (Perpetrator) to State Population</t>
        </is>
      </c>
      <c r="N4" s="8" t="inlineStr">
        <is>
          <t>Estimated Subject to City Population</t>
        </is>
      </c>
      <c r="O4" t="inlineStr">
        <is>
          <t>State Subject Losses (Perpetrator gained X dollars)</t>
        </is>
      </c>
      <c r="P4" s="8" t="inlineStr">
        <is>
          <t>Even Loss per State Subject</t>
        </is>
      </c>
      <c r="Q4" s="8" t="inlineStr">
        <is>
          <t xml:space="preserve">Estimated In-City Subject Losses (Perpetrator Take from Victim) </t>
        </is>
      </c>
    </row>
    <row r="5">
      <c r="B5" t="inlineStr">
        <is>
          <t>https://www.census.gov/quickfacts/fact/table/TN/PST045222</t>
        </is>
      </c>
      <c r="C5" t="inlineStr">
        <is>
          <t>TN Population in 2022</t>
        </is>
      </c>
      <c r="D5" t="inlineStr">
        <is>
          <t>Population Estimate</t>
        </is>
      </c>
      <c r="E5" s="1" t="n">
        <v>7051339</v>
      </c>
      <c r="F5" t="inlineStr">
        <is>
          <t>Raw Value</t>
        </is>
      </c>
      <c r="G5" t="inlineStr">
        <is>
          <t>(Victim Count/State Population ) * City Population</t>
        </is>
      </c>
      <c r="H5" t="inlineStr">
        <is>
          <t>(Victim Count/State Population ) * City Population Rounded Down</t>
        </is>
      </c>
      <c r="K5" t="inlineStr">
        <is>
          <t>Estimated In-City Victims * Even Loss per State Victim</t>
        </is>
      </c>
      <c r="Q5" t="inlineStr">
        <is>
          <t>Subject to City * Even Loss per State Subject</t>
        </is>
      </c>
    </row>
    <row r="6" customFormat="1" s="2">
      <c r="B6" t="inlineStr">
        <is>
          <t>https://www.census.gov/quickfacts/chattanoogacitytennessee</t>
        </is>
      </c>
      <c r="C6" t="inlineStr">
        <is>
          <t>Chattanooga Population in 2022</t>
        </is>
      </c>
      <c r="D6" t="inlineStr">
        <is>
          <t>Population Estimate</t>
        </is>
      </c>
      <c r="E6" s="1" t="n">
        <v>184086</v>
      </c>
      <c r="I6" s="18" t="n"/>
      <c r="J6" s="19" t="n"/>
      <c r="L6" s="8" t="n"/>
      <c r="M6" s="8" t="n"/>
      <c r="N6" s="8" t="n"/>
    </row>
    <row r="7" customFormat="1" s="2">
      <c r="B7" t="inlineStr">
        <is>
          <t>https://www.ic3.gov/Media/PDF/AnnualReport/2022State/StateReport.aspx#?s=47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>
        <v>204</v>
      </c>
      <c r="F7" s="3">
        <f>E7/E5</f>
        <v/>
      </c>
      <c r="G7">
        <f>F7*E6</f>
        <v/>
      </c>
      <c r="H7">
        <f>ROUNDDOWN(F7*E6,0)</f>
        <v/>
      </c>
      <c r="I7" s="18" t="n">
        <v>1807140</v>
      </c>
      <c r="J7" s="19">
        <f>I7/E7</f>
        <v/>
      </c>
      <c r="K7" s="19">
        <f>J7*H7</f>
        <v/>
      </c>
      <c r="L7" s="8" t="n">
        <v>61</v>
      </c>
      <c r="M7" s="3">
        <f>L7/E5</f>
        <v/>
      </c>
      <c r="N7" s="8">
        <f>ROUNDDOWN(M7*E6,0)</f>
        <v/>
      </c>
      <c r="O7" s="21" t="n">
        <v>1129309</v>
      </c>
      <c r="P7" s="21">
        <f>O7/L7</f>
        <v/>
      </c>
      <c r="Q7" s="19">
        <f>N7*P7</f>
        <v/>
      </c>
    </row>
    <row r="8" customFormat="1" s="2">
      <c r="B8" t="inlineStr">
        <is>
          <t>https://www.ic3.gov/Media/PDF/AnnualReport/2022State/StateReport.aspx#?s=47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>
        <v>416</v>
      </c>
      <c r="F8" s="3">
        <f>E8/E5</f>
        <v/>
      </c>
      <c r="G8">
        <f>F8*E6</f>
        <v/>
      </c>
      <c r="H8">
        <f>ROUNDDOWN(F8*E6,0)</f>
        <v/>
      </c>
      <c r="I8" s="18" t="n">
        <v>46637795</v>
      </c>
      <c r="J8" s="19">
        <f>I8/E8</f>
        <v/>
      </c>
      <c r="K8" s="19">
        <f>J8*H8</f>
        <v/>
      </c>
      <c r="L8" s="8" t="n">
        <v>60</v>
      </c>
      <c r="M8" s="3">
        <f>L8/E5</f>
        <v/>
      </c>
      <c r="N8" s="8">
        <f>ROUNDDOWN(M8*E6,0)</f>
        <v/>
      </c>
      <c r="O8" s="21" t="n">
        <v>8204329</v>
      </c>
      <c r="P8" s="21">
        <f>O8/L8</f>
        <v/>
      </c>
      <c r="Q8" s="19">
        <f>N8*P8</f>
        <v/>
      </c>
    </row>
    <row r="9" customFormat="1" s="2">
      <c r="B9" t="inlineStr">
        <is>
          <t>https://www.ic3.gov/Media/PDF/AnnualReport/2022State/StateReport.aspx#?s=47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n">
        <v>9</v>
      </c>
      <c r="F9" s="3">
        <f>E9/E5</f>
        <v/>
      </c>
      <c r="G9">
        <f>F9*E6</f>
        <v/>
      </c>
      <c r="H9">
        <f>ROUNDDOWN(F9*E6,0)</f>
        <v/>
      </c>
      <c r="I9" s="20" t="n">
        <v>643</v>
      </c>
      <c r="J9" s="19">
        <f>I9/E9</f>
        <v/>
      </c>
      <c r="K9" s="19">
        <f>J9*H9</f>
        <v/>
      </c>
      <c r="L9" s="8" t="n">
        <v>7</v>
      </c>
      <c r="M9" s="3">
        <f>L9/E5</f>
        <v/>
      </c>
      <c r="N9" s="8">
        <f>ROUNDDOWN(M9*E6,0)</f>
        <v/>
      </c>
      <c r="O9" s="21" t="n">
        <v>439</v>
      </c>
      <c r="P9" s="21">
        <f>O9/L9</f>
        <v/>
      </c>
      <c r="Q9" s="19">
        <f>N9*P9</f>
        <v/>
      </c>
    </row>
    <row r="10" customFormat="1" s="2">
      <c r="B10" t="inlineStr">
        <is>
          <t>https://www.ic3.gov/Media/PDF/AnnualReport/2022State/StateReport.aspx#?s=47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>
        <v>331</v>
      </c>
      <c r="F10" s="3">
        <f>E10/E5</f>
        <v/>
      </c>
      <c r="G10">
        <f>F10*E6</f>
        <v/>
      </c>
      <c r="H10">
        <f>ROUNDDOWN(F10*E6,0)</f>
        <v/>
      </c>
      <c r="I10" s="20" t="n">
        <v>8892488</v>
      </c>
      <c r="J10" s="19">
        <f>I10/E10</f>
        <v/>
      </c>
      <c r="K10" s="19">
        <f>J10*H10</f>
        <v/>
      </c>
      <c r="L10" s="8" t="n">
        <v>146</v>
      </c>
      <c r="M10" s="3">
        <f>L10/E5</f>
        <v/>
      </c>
      <c r="N10" s="8">
        <f>ROUNDDOWN(M10*E6,0)</f>
        <v/>
      </c>
      <c r="O10" s="21" t="n">
        <v>4323401</v>
      </c>
      <c r="P10" s="21">
        <f>O10/L10</f>
        <v/>
      </c>
      <c r="Q10" s="19">
        <f>N10*P10</f>
        <v/>
      </c>
    </row>
    <row r="11" customFormat="1" s="2">
      <c r="B11" t="inlineStr">
        <is>
          <t>https://www.ic3.gov/Media/PDF/AnnualReport/2022State/StateReport.aspx#?s=47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n">
        <v>471</v>
      </c>
      <c r="F11" s="3">
        <f>E11/E5</f>
        <v/>
      </c>
      <c r="G11">
        <f>F11*E6</f>
        <v/>
      </c>
      <c r="H11">
        <f>ROUNDDOWN(F11*E6,0)</f>
        <v/>
      </c>
      <c r="I11" s="22" t="n">
        <v>3879384</v>
      </c>
      <c r="J11" s="19">
        <f>I11/E11</f>
        <v/>
      </c>
      <c r="K11" s="19">
        <f>J11*H11</f>
        <v/>
      </c>
      <c r="L11" s="8" t="n">
        <v>196</v>
      </c>
      <c r="M11" s="3">
        <f>L11/E5</f>
        <v/>
      </c>
      <c r="N11" s="8">
        <f>ROUNDDOWN(M11*E6,0)</f>
        <v/>
      </c>
      <c r="O11" s="21" t="n">
        <v>1537536</v>
      </c>
      <c r="P11" s="21">
        <f>O11/L11</f>
        <v/>
      </c>
      <c r="Q11" s="19">
        <f>N11*P11</f>
        <v/>
      </c>
    </row>
    <row r="12" customFormat="1" s="2">
      <c r="B12" t="inlineStr">
        <is>
          <t>https://www.ic3.gov/Media/PDF/AnnualReport/2022State/StateReport.aspx#?s=47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>
        <v>54</v>
      </c>
      <c r="F12" s="3">
        <f>E12/E5</f>
        <v/>
      </c>
      <c r="G12">
        <f>F12*E6</f>
        <v/>
      </c>
      <c r="H12">
        <f>ROUNDDOWN(F12*E6,0)</f>
        <v/>
      </c>
      <c r="I12" s="18" t="n">
        <v>2681</v>
      </c>
      <c r="J12" s="19">
        <f>I12/E12</f>
        <v/>
      </c>
      <c r="K12" s="19">
        <f>J12*H12</f>
        <v/>
      </c>
      <c r="L12" s="8" t="n">
        <v>9</v>
      </c>
      <c r="M12" s="3">
        <f>L12/E5</f>
        <v/>
      </c>
      <c r="N12" s="8">
        <f>ROUNDDOWN(M12*E6,0)</f>
        <v/>
      </c>
      <c r="O12" s="21" t="n">
        <v>566</v>
      </c>
      <c r="P12" s="21">
        <f>O12/L12</f>
        <v/>
      </c>
      <c r="Q12" s="19">
        <f>N12*P12</f>
        <v/>
      </c>
    </row>
    <row r="13" customFormat="1" s="2">
      <c r="B13" t="inlineStr">
        <is>
          <t>https://www.ic3.gov/Media/PDF/AnnualReport/2022State/StateReport.aspx#?s=47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>
        <v>44</v>
      </c>
      <c r="F13" s="3">
        <f>E13/E5</f>
        <v/>
      </c>
      <c r="G13">
        <f>F13*E6</f>
        <v/>
      </c>
      <c r="H13">
        <f>ROUNDDOWN(F13*E6,0)</f>
        <v/>
      </c>
      <c r="I13" s="18" t="n">
        <v>1499907</v>
      </c>
      <c r="J13" s="19">
        <f>I13/E13</f>
        <v/>
      </c>
      <c r="K13" s="19">
        <f>J13*H13</f>
        <v/>
      </c>
      <c r="L13" s="8" t="n">
        <v>35</v>
      </c>
      <c r="M13" s="3">
        <f>L13/E5</f>
        <v/>
      </c>
      <c r="N13" s="8">
        <f>ROUNDDOWN(M13*E6,0)</f>
        <v/>
      </c>
      <c r="O13" s="21" t="n">
        <v>497487</v>
      </c>
      <c r="P13" s="21">
        <f>O13/L13</f>
        <v/>
      </c>
      <c r="Q13" s="19">
        <f>N13*P13</f>
        <v/>
      </c>
    </row>
    <row r="14" customFormat="1" s="2">
      <c r="B14" t="inlineStr">
        <is>
          <t>https://www.ic3.gov/Media/PDF/AnnualReport/2022State/StateReport.aspx#?s=47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>
        <v>255</v>
      </c>
      <c r="F14" s="3">
        <f>E14/E5</f>
        <v/>
      </c>
      <c r="G14">
        <f>F14*E6</f>
        <v/>
      </c>
      <c r="H14">
        <f>ROUNDDOWN(F14*E6,0)</f>
        <v/>
      </c>
      <c r="I14" s="20" t="n">
        <v>536631</v>
      </c>
      <c r="J14" s="19">
        <f>I14/E14</f>
        <v/>
      </c>
      <c r="K14" s="19">
        <f>J14*H14</f>
        <v/>
      </c>
      <c r="L14" s="8" t="n">
        <v>85</v>
      </c>
      <c r="M14" s="3">
        <f>L14/E5</f>
        <v/>
      </c>
      <c r="N14" s="8">
        <f>ROUNDDOWN(M14*E6,0)</f>
        <v/>
      </c>
      <c r="O14" s="21" t="n">
        <v>84959</v>
      </c>
      <c r="P14" s="21">
        <f>O14/L14</f>
        <v/>
      </c>
      <c r="Q14" s="19">
        <f>N14*P14</f>
        <v/>
      </c>
    </row>
    <row r="15" customFormat="1" s="2">
      <c r="B15" t="inlineStr">
        <is>
          <t>https://www.ic3.gov/Media/PDF/AnnualReport/2022State/StateReport.aspx#?s=47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>
        <v>695</v>
      </c>
      <c r="F15" s="3">
        <f>E15/E5</f>
        <v/>
      </c>
      <c r="G15">
        <f>F15*E6</f>
        <v/>
      </c>
      <c r="H15">
        <f>ROUNDDOWN(F15*E6,0)</f>
        <v/>
      </c>
      <c r="I15" s="20" t="n">
        <v>595359</v>
      </c>
      <c r="J15" s="19">
        <f>I15/E15</f>
        <v/>
      </c>
      <c r="K15" s="19">
        <f>J15*H15</f>
        <v/>
      </c>
      <c r="L15" s="8" t="n">
        <v>110</v>
      </c>
      <c r="M15" s="3">
        <f>L15/E5</f>
        <v/>
      </c>
      <c r="N15" s="8">
        <f>ROUNDDOWN(M15*E6,0)</f>
        <v/>
      </c>
      <c r="O15" s="21" t="n">
        <v>131245</v>
      </c>
      <c r="P15" s="21">
        <f>O15/L15</f>
        <v/>
      </c>
      <c r="Q15" s="19">
        <f>N15*P15</f>
        <v/>
      </c>
    </row>
    <row r="16" customFormat="1" s="2">
      <c r="B16" t="inlineStr">
        <is>
          <t>https://www.ic3.gov/Media/PDF/AnnualReport/2022State/StateReport.aspx#?s=47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>
        <v>195</v>
      </c>
      <c r="F16" s="3">
        <f>E16/E5</f>
        <v/>
      </c>
      <c r="G16">
        <f>F16*E6</f>
        <v/>
      </c>
      <c r="H16">
        <f>ROUNDDOWN(F16*E6,0)</f>
        <v/>
      </c>
      <c r="I16" s="20" t="n">
        <v>2305283</v>
      </c>
      <c r="J16" s="19">
        <f>I16/E16</f>
        <v/>
      </c>
      <c r="K16" s="19">
        <f>J16*H16</f>
        <v/>
      </c>
      <c r="L16" s="8" t="n">
        <v>44</v>
      </c>
      <c r="M16" s="3">
        <f>L16/E5</f>
        <v/>
      </c>
      <c r="N16" s="8">
        <f>ROUNDDOWN(M16*E6,0)</f>
        <v/>
      </c>
      <c r="O16" s="21" t="n">
        <v>665515</v>
      </c>
      <c r="P16" s="21">
        <f>O16/L16</f>
        <v/>
      </c>
      <c r="Q16" s="19">
        <f>N16*P16</f>
        <v/>
      </c>
    </row>
    <row r="17" customFormat="1" s="2">
      <c r="B17" t="inlineStr">
        <is>
          <t>https://www.ic3.gov/Media/PDF/AnnualReport/2022State/StateReport.aspx#?s=47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n">
        <v>173</v>
      </c>
      <c r="F17" s="3">
        <f>E17/E5</f>
        <v/>
      </c>
      <c r="G17">
        <f>F17*E6</f>
        <v/>
      </c>
      <c r="H17">
        <f>ROUNDDOWN(F17*E6,0)</f>
        <v/>
      </c>
      <c r="I17" s="20" t="n">
        <v>1422</v>
      </c>
      <c r="J17" s="19">
        <f>I17/E17</f>
        <v/>
      </c>
      <c r="K17" s="19">
        <f>J17*H17</f>
        <v/>
      </c>
      <c r="L17" s="8" t="n">
        <v>77</v>
      </c>
      <c r="M17" s="3">
        <f>L17/E5</f>
        <v/>
      </c>
      <c r="N17" s="8">
        <f>ROUNDDOWN(M17*E6,0)</f>
        <v/>
      </c>
      <c r="O17" s="23" t="n">
        <v>500</v>
      </c>
      <c r="P17" s="21">
        <f>O17/L17</f>
        <v/>
      </c>
      <c r="Q17" s="19">
        <f>N17*P17</f>
        <v/>
      </c>
    </row>
    <row r="18" customFormat="1" s="2">
      <c r="B18" t="inlineStr">
        <is>
          <t>https://www.ic3.gov/Media/PDF/AnnualReport/2022State/StateReport.aspx#?s=47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>
        <v>19</v>
      </c>
      <c r="F18" s="3">
        <f>E18/E5</f>
        <v/>
      </c>
      <c r="G18">
        <f>F18*E6</f>
        <v/>
      </c>
      <c r="H18">
        <f>ROUNDDOWN(F18*E6,0)</f>
        <v/>
      </c>
      <c r="I18" s="20" t="n">
        <v>1322</v>
      </c>
      <c r="J18" s="19">
        <f>I18/E18</f>
        <v/>
      </c>
      <c r="K18" s="19">
        <f>J18*H18</f>
        <v/>
      </c>
      <c r="L18" s="8" t="n">
        <v>18</v>
      </c>
      <c r="M18" s="3">
        <f>L18/E5</f>
        <v/>
      </c>
      <c r="N18" s="8">
        <f>ROUNDDOWN(M18*E6,0)</f>
        <v/>
      </c>
      <c r="O18" s="21" t="n">
        <v>74831</v>
      </c>
      <c r="P18" s="21">
        <f>O18/L18</f>
        <v/>
      </c>
      <c r="Q18" s="19">
        <f>N18*P18</f>
        <v/>
      </c>
    </row>
    <row r="19" customFormat="1" s="2">
      <c r="B19" t="inlineStr">
        <is>
          <t>https://www.ic3.gov/Media/PDF/AnnualReport/2022State/StateReport.aspx#?s=47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>
        <v>539</v>
      </c>
      <c r="F19" s="3">
        <f>E19/E5</f>
        <v/>
      </c>
      <c r="G19">
        <f>F19*E6</f>
        <v/>
      </c>
      <c r="H19">
        <f>ROUNDDOWN(F19*E6,0)</f>
        <v/>
      </c>
      <c r="I19" s="20" t="n">
        <v>2057849</v>
      </c>
      <c r="J19" s="19">
        <f>I19/E19</f>
        <v/>
      </c>
      <c r="K19" s="19">
        <f>J19*H19</f>
        <v/>
      </c>
      <c r="L19" s="8" t="n">
        <v>154</v>
      </c>
      <c r="M19" s="3">
        <f>L19/E5</f>
        <v/>
      </c>
      <c r="N19" s="8">
        <f>ROUNDDOWN(M19*E6,0)</f>
        <v/>
      </c>
      <c r="O19" s="21" t="n">
        <v>657767</v>
      </c>
      <c r="P19" s="21">
        <f>O19/L19</f>
        <v/>
      </c>
      <c r="Q19" s="19">
        <f>N19*P19</f>
        <v/>
      </c>
    </row>
    <row r="20" customFormat="1" s="2">
      <c r="B20" t="inlineStr">
        <is>
          <t>https://www.ic3.gov/Media/PDF/AnnualReport/2022State/StateReport.aspx#?s=47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>
        <v>261</v>
      </c>
      <c r="F20" s="3">
        <f>E20/E5</f>
        <v/>
      </c>
      <c r="G20">
        <f>F20*E6</f>
        <v/>
      </c>
      <c r="H20">
        <f>ROUNDDOWN(F20*E6,0)</f>
        <v/>
      </c>
      <c r="I20" s="20" t="n">
        <v>20869755</v>
      </c>
      <c r="J20" s="19">
        <f>I20/E20</f>
        <v/>
      </c>
      <c r="K20" s="19">
        <f>J20*H20</f>
        <v/>
      </c>
      <c r="L20" s="8" t="n">
        <v>56</v>
      </c>
      <c r="M20" s="3">
        <f>L20/E5</f>
        <v/>
      </c>
      <c r="N20" s="8">
        <f>ROUNDDOWN(M20*E6,0)</f>
        <v/>
      </c>
      <c r="O20" s="21" t="n">
        <v>3607694</v>
      </c>
      <c r="P20" s="21">
        <f>O20/L20</f>
        <v/>
      </c>
      <c r="Q20" s="19">
        <f>N20*P20</f>
        <v/>
      </c>
    </row>
    <row r="21" customFormat="1" s="2">
      <c r="B21" t="inlineStr">
        <is>
          <t>https://www.ic3.gov/Media/PDF/AnnualReport/2022State/StateReport.aspx#?s=47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>
        <v>137</v>
      </c>
      <c r="F21" s="3">
        <f>E21/E5</f>
        <v/>
      </c>
      <c r="G21">
        <f>F21*E6</f>
        <v/>
      </c>
      <c r="H21">
        <f>ROUNDDOWN(F21*E6,0)</f>
        <v/>
      </c>
      <c r="I21" s="20" t="n">
        <v>2235665</v>
      </c>
      <c r="J21" s="19">
        <f>I21/E21</f>
        <v/>
      </c>
      <c r="K21" s="19">
        <f>J21*H21</f>
        <v/>
      </c>
      <c r="L21" s="8" t="n">
        <v>29</v>
      </c>
      <c r="M21" s="3">
        <f>L21/E5</f>
        <v/>
      </c>
      <c r="N21" s="8">
        <f>ROUNDDOWN(M21*E6,0)</f>
        <v/>
      </c>
      <c r="O21" s="21" t="n">
        <v>840629</v>
      </c>
      <c r="P21" s="21">
        <f>O21/L21</f>
        <v/>
      </c>
      <c r="Q21" s="19">
        <f>N21*P21</f>
        <v/>
      </c>
    </row>
    <row r="22" customFormat="1" s="2">
      <c r="B22" t="inlineStr">
        <is>
          <t>https://www.ic3.gov/Media/PDF/AnnualReport/2022State/StateReport.aspx#?s=47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>
        <v>9</v>
      </c>
      <c r="F22" s="3">
        <f>E22/E5</f>
        <v/>
      </c>
      <c r="G22">
        <f>F22*E6</f>
        <v/>
      </c>
      <c r="H22">
        <f>ROUNDDOWN(F22*E6,0)</f>
        <v/>
      </c>
      <c r="I22" s="20" t="n">
        <v>705506</v>
      </c>
      <c r="J22" s="19">
        <f>I22/E22</f>
        <v/>
      </c>
      <c r="K22" s="19">
        <f>J22*H22</f>
        <v/>
      </c>
      <c r="L22" s="8" t="n">
        <v>1</v>
      </c>
      <c r="M22" s="3">
        <f>L22/E5</f>
        <v/>
      </c>
      <c r="N22" s="8">
        <f>ROUNDDOWN(M22*E6,0)</f>
        <v/>
      </c>
      <c r="O22" s="21" t="n">
        <v>0</v>
      </c>
      <c r="P22" s="21">
        <f>O22/L22</f>
        <v/>
      </c>
      <c r="Q22" s="19">
        <f>N22*P22</f>
        <v/>
      </c>
    </row>
    <row r="23" customFormat="1" s="2">
      <c r="B23" t="inlineStr">
        <is>
          <t>https://www.ic3.gov/Media/PDF/AnnualReport/2022State/StateReport.aspx#?s=47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n">
        <v>0</v>
      </c>
      <c r="F23" s="3">
        <f>E23/E5</f>
        <v/>
      </c>
      <c r="G23">
        <f>F23*E6</f>
        <v/>
      </c>
      <c r="H23">
        <f>ROUNDDOWN(F23*E6,0)</f>
        <v/>
      </c>
      <c r="I23" s="20" t="n">
        <v>0</v>
      </c>
      <c r="J23" s="19">
        <f>I23/E23</f>
        <v/>
      </c>
      <c r="K23" s="19">
        <f>J23*H23</f>
        <v/>
      </c>
      <c r="L23" s="8" t="n">
        <v>0</v>
      </c>
      <c r="M23" s="3">
        <f>L23/E5</f>
        <v/>
      </c>
      <c r="N23" s="8">
        <f>ROUNDDOWN(M23*E6,0)</f>
        <v/>
      </c>
      <c r="O23" s="21" t="n">
        <v>0</v>
      </c>
      <c r="P23" s="21">
        <f>O23/L23</f>
        <v/>
      </c>
      <c r="Q23" s="19">
        <f>N23*P23</f>
        <v/>
      </c>
    </row>
    <row r="24" customFormat="1" s="2">
      <c r="B24" t="inlineStr">
        <is>
          <t>https://www.ic3.gov/Media/PDF/AnnualReport/2022State/StateReport.aspx#?s=47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n">
        <v>0</v>
      </c>
      <c r="F24" s="3">
        <f>E24/E5</f>
        <v/>
      </c>
      <c r="G24">
        <f>F24*E6</f>
        <v/>
      </c>
      <c r="H24">
        <f>ROUNDDOWN(F24*E6,0)</f>
        <v/>
      </c>
      <c r="I24" s="20" t="n">
        <v>0</v>
      </c>
      <c r="J24" s="19">
        <f>I24/E24</f>
        <v/>
      </c>
      <c r="K24" s="19">
        <f>J24*H24</f>
        <v/>
      </c>
      <c r="L24" s="8" t="n">
        <v>0</v>
      </c>
      <c r="M24" s="3">
        <f>L24/E5</f>
        <v/>
      </c>
      <c r="N24" s="8">
        <f>ROUNDDOWN(M24*E6,0)</f>
        <v/>
      </c>
      <c r="O24" s="21" t="n">
        <v>0</v>
      </c>
      <c r="P24" s="21">
        <f>O24/L24</f>
        <v/>
      </c>
      <c r="Q24" s="19">
        <f>N24*P24</f>
        <v/>
      </c>
    </row>
    <row r="25" customFormat="1" s="2">
      <c r="B25" t="inlineStr">
        <is>
          <t>https://www.ic3.gov/Media/PDF/AnnualReport/2022State/StateReport.aspx#?s=47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>
        <v>514</v>
      </c>
      <c r="F25" s="3">
        <f>E25/E5</f>
        <v/>
      </c>
      <c r="G25">
        <f>F25*E6</f>
        <v/>
      </c>
      <c r="H25">
        <f>ROUNDDOWN(F25*E6,0)</f>
        <v/>
      </c>
      <c r="I25" s="20" t="n">
        <v>0</v>
      </c>
      <c r="J25" s="19">
        <f>I25/E25</f>
        <v/>
      </c>
      <c r="K25" s="19">
        <f>J25*H25</f>
        <v/>
      </c>
      <c r="L25" s="8" t="n">
        <v>892</v>
      </c>
      <c r="M25" s="3">
        <f>L25/E5</f>
        <v/>
      </c>
      <c r="N25" s="8">
        <f>ROUNDDOWN(M25*E6,0)</f>
        <v/>
      </c>
      <c r="O25" s="21" t="n">
        <v>0</v>
      </c>
      <c r="P25" s="21">
        <f>O25/L25</f>
        <v/>
      </c>
      <c r="Q25" s="19">
        <f>N25*P25</f>
        <v/>
      </c>
    </row>
    <row r="26" customFormat="1" s="2">
      <c r="B26" t="inlineStr">
        <is>
          <t>https://www.ic3.gov/Media/PDF/AnnualReport/2022State/StateReport.aspx#?s=47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>
        <v>849</v>
      </c>
      <c r="F26" s="3">
        <f>E26/E5</f>
        <v/>
      </c>
      <c r="G26">
        <f>F26*E6</f>
        <v/>
      </c>
      <c r="H26">
        <f>ROUNDDOWN(F26*E6,0)</f>
        <v/>
      </c>
      <c r="I26" s="20" t="n">
        <v>3830326</v>
      </c>
      <c r="J26" s="19">
        <f>I26/E26</f>
        <v/>
      </c>
      <c r="K26" s="19">
        <f>J26*H26</f>
        <v/>
      </c>
      <c r="L26" s="8" t="n">
        <v>365</v>
      </c>
      <c r="M26" s="3">
        <f>L26/E5</f>
        <v/>
      </c>
      <c r="N26" s="8">
        <f>ROUNDDOWN(M26*E6,0)</f>
        <v/>
      </c>
      <c r="O26" s="20" t="n">
        <v>2183461</v>
      </c>
      <c r="P26" s="21">
        <f>O26/L26</f>
        <v/>
      </c>
      <c r="Q26" s="19">
        <f>N26*P26</f>
        <v/>
      </c>
    </row>
    <row r="27" customFormat="1" s="2">
      <c r="B27" t="inlineStr">
        <is>
          <t>https://www.ic3.gov/Media/PDF/AnnualReport/2022State/StateReport.aspx#?s=47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>
        <v>147</v>
      </c>
      <c r="F27" s="3">
        <f>E27/E5</f>
        <v/>
      </c>
      <c r="G27">
        <f>F27*E6</f>
        <v/>
      </c>
      <c r="H27">
        <f>ROUNDDOWN(F27*E6,0)</f>
        <v/>
      </c>
      <c r="I27" s="20" t="n">
        <v>1291750</v>
      </c>
      <c r="J27" s="19">
        <f>I27/E27</f>
        <v/>
      </c>
      <c r="K27" s="19">
        <f>J27*H27</f>
        <v/>
      </c>
      <c r="L27" s="8" t="n">
        <v>53</v>
      </c>
      <c r="M27" s="3">
        <f>L27/E5</f>
        <v/>
      </c>
      <c r="N27" s="8">
        <f>ROUNDDOWN(M27*E6,0)</f>
        <v/>
      </c>
      <c r="O27" s="20" t="n">
        <v>1131997</v>
      </c>
      <c r="P27" s="21">
        <f>O27/L27</f>
        <v/>
      </c>
      <c r="Q27" s="19">
        <f>N27*P27</f>
        <v/>
      </c>
    </row>
    <row r="28" customFormat="1" s="2">
      <c r="B28" t="inlineStr">
        <is>
          <t>https://www.ic3.gov/Media/PDF/AnnualReport/2022State/StateReport.aspx#?s=47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>
        <v>119</v>
      </c>
      <c r="F28" s="3">
        <f>E28/E5</f>
        <v/>
      </c>
      <c r="G28">
        <f>F28*E6</f>
        <v/>
      </c>
      <c r="H28">
        <f>ROUNDDOWN(F28*E6,0)</f>
        <v/>
      </c>
      <c r="I28" s="20" t="n">
        <v>669941</v>
      </c>
      <c r="J28" s="19">
        <f>I28/E28</f>
        <v/>
      </c>
      <c r="K28" s="19">
        <f>J28*H28</f>
        <v/>
      </c>
      <c r="L28" s="8" t="n">
        <v>38</v>
      </c>
      <c r="M28" s="3">
        <f>L28/E5</f>
        <v/>
      </c>
      <c r="N28" s="8">
        <f>ROUNDDOWN(M28*E6,0)</f>
        <v/>
      </c>
      <c r="O28" s="20" t="n">
        <v>577476</v>
      </c>
      <c r="P28" s="21">
        <f>O28/L28</f>
        <v/>
      </c>
      <c r="Q28" s="19">
        <f>N28*P28</f>
        <v/>
      </c>
    </row>
    <row r="29" customFormat="1" s="2">
      <c r="B29" t="inlineStr">
        <is>
          <t>https://www.ic3.gov/Media/PDF/AnnualReport/2022State/StateReport.aspx#?s=47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>
        <v>903</v>
      </c>
      <c r="F29" s="3">
        <f>E29/E5</f>
        <v/>
      </c>
      <c r="G29">
        <f>F29*E6</f>
        <v/>
      </c>
      <c r="H29">
        <f>ROUNDDOWN(F29*E6,0)</f>
        <v/>
      </c>
      <c r="I29" s="20" t="n">
        <v>6376097</v>
      </c>
      <c r="J29" s="19">
        <f>I29/E29</f>
        <v/>
      </c>
      <c r="K29" s="19">
        <f>J29*H29</f>
        <v/>
      </c>
      <c r="L29" s="8" t="n">
        <v>305</v>
      </c>
      <c r="M29" s="3">
        <f>L29/E5</f>
        <v/>
      </c>
      <c r="N29" s="8">
        <f>ROUNDDOWN(M29*E6,0)</f>
        <v/>
      </c>
      <c r="O29" s="20" t="n">
        <v>935734</v>
      </c>
      <c r="P29" s="21">
        <f>O29/L29</f>
        <v/>
      </c>
      <c r="Q29" s="19">
        <f>N29*P29</f>
        <v/>
      </c>
    </row>
    <row r="30" customFormat="1" s="2">
      <c r="B30" t="inlineStr">
        <is>
          <t>https://www.ic3.gov/Media/PDF/AnnualReport/2022State/StateReport.aspx#?s=47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>
        <v>296</v>
      </c>
      <c r="F30" s="3">
        <f>E30/E5</f>
        <v/>
      </c>
      <c r="G30">
        <f>F30*E6</f>
        <v/>
      </c>
      <c r="H30">
        <f>ROUNDDOWN(F30*E6,0)</f>
        <v/>
      </c>
      <c r="I30" s="20" t="n">
        <v>279475</v>
      </c>
      <c r="J30" s="19">
        <f>I30/E30</f>
        <v/>
      </c>
      <c r="K30" s="19">
        <f>J30*H30</f>
        <v/>
      </c>
      <c r="L30" s="8" t="n">
        <v>43</v>
      </c>
      <c r="M30" s="3">
        <f>L30/E5</f>
        <v/>
      </c>
      <c r="N30" s="8">
        <f>ROUNDDOWN(M30*E6,0)</f>
        <v/>
      </c>
      <c r="O30" s="20" t="n">
        <v>109027</v>
      </c>
      <c r="P30" s="21">
        <f>O30/L30</f>
        <v/>
      </c>
      <c r="Q30" s="19">
        <f>N30*P30</f>
        <v/>
      </c>
    </row>
    <row r="31" customFormat="1" s="2">
      <c r="B31" t="inlineStr">
        <is>
          <t>https://www.ic3.gov/Media/PDF/AnnualReport/2022State/StateReport.aspx#?s=47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>
        <v>31</v>
      </c>
      <c r="F31" s="3">
        <f>E31/E5</f>
        <v/>
      </c>
      <c r="G31">
        <f>F31*E6</f>
        <v/>
      </c>
      <c r="H31">
        <f>ROUNDDOWN(F31*E6,0)</f>
        <v/>
      </c>
      <c r="I31" s="20" t="n">
        <v>110000</v>
      </c>
      <c r="J31" s="19">
        <f>I31/E31</f>
        <v/>
      </c>
      <c r="K31" s="19">
        <f>J31*H31</f>
        <v/>
      </c>
      <c r="L31" s="8" t="n">
        <v>0</v>
      </c>
      <c r="M31" s="3">
        <f>L31/E5</f>
        <v/>
      </c>
      <c r="N31" s="8">
        <f>ROUNDDOWN(M31*E6,0)</f>
        <v/>
      </c>
      <c r="O31" s="21" t="n">
        <v>0</v>
      </c>
      <c r="P31" s="21">
        <f>O31/L31</f>
        <v/>
      </c>
      <c r="Q31" s="19">
        <f>N31*P31</f>
        <v/>
      </c>
    </row>
    <row r="32" customFormat="1" s="2">
      <c r="B32" t="inlineStr">
        <is>
          <t>https://www.ic3.gov/Media/PDF/AnnualReport/2022State/StateReport.aspx#?s=47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>
        <v>174</v>
      </c>
      <c r="F32" s="3">
        <f>E32/E5</f>
        <v/>
      </c>
      <c r="G32">
        <f>F32*E6</f>
        <v/>
      </c>
      <c r="H32">
        <f>ROUNDDOWN(F32*E6,0)</f>
        <v/>
      </c>
      <c r="I32" s="20" t="n">
        <v>7314288</v>
      </c>
      <c r="J32" s="19">
        <f>I32/E32</f>
        <v/>
      </c>
      <c r="K32" s="19">
        <f>J32*H32</f>
        <v/>
      </c>
      <c r="L32" s="8" t="n">
        <v>63</v>
      </c>
      <c r="M32" s="3">
        <f>L32/E5</f>
        <v/>
      </c>
      <c r="N32" s="8">
        <f>ROUNDDOWN(M32*E6,0)</f>
        <v/>
      </c>
      <c r="O32" s="20" t="n">
        <v>2917722</v>
      </c>
      <c r="P32" s="21">
        <f>O32/L32</f>
        <v/>
      </c>
      <c r="Q32" s="19">
        <f>N32*P32</f>
        <v/>
      </c>
    </row>
    <row r="33" customFormat="1" s="2">
      <c r="B33" t="inlineStr">
        <is>
          <t>https://www.ic3.gov/Media/PDF/AnnualReport/2022State/StateReport.aspx#?s=47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n">
        <v>25</v>
      </c>
      <c r="F33" s="3">
        <f>E33/E5</f>
        <v/>
      </c>
      <c r="G33">
        <f>F33*E6</f>
        <v/>
      </c>
      <c r="H33">
        <f>ROUNDDOWN(F33*E6,0)</f>
        <v/>
      </c>
      <c r="I33" s="20" t="n">
        <v>630219</v>
      </c>
      <c r="J33" s="19">
        <f>I33/E33</f>
        <v/>
      </c>
      <c r="K33" s="19">
        <f>J33*H33</f>
        <v/>
      </c>
      <c r="L33" s="8" t="n">
        <v>4</v>
      </c>
      <c r="M33" s="3">
        <f>L33/E5</f>
        <v/>
      </c>
      <c r="N33" s="8">
        <f>ROUNDDOWN(M33*E6,0)</f>
        <v/>
      </c>
      <c r="O33" s="20" t="n">
        <v>180</v>
      </c>
      <c r="P33" s="21">
        <f>O33/L33</f>
        <v/>
      </c>
      <c r="Q33" s="19">
        <f>N33*P33</f>
        <v/>
      </c>
    </row>
    <row r="34" customFormat="1" s="2">
      <c r="B34" t="inlineStr">
        <is>
          <t>https://www.ic3.gov/Media/PDF/AnnualReport/2022State/StateReport.aspx#?s=47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>
        <v>320</v>
      </c>
      <c r="F34" s="3">
        <f>E34/E5</f>
        <v/>
      </c>
      <c r="G34">
        <f>F34*E6</f>
        <v/>
      </c>
      <c r="H34">
        <f>ROUNDDOWN(F34*E6,0)</f>
        <v/>
      </c>
      <c r="I34" s="20" t="n">
        <v>517094</v>
      </c>
      <c r="J34" s="19">
        <f>I34/E34</f>
        <v/>
      </c>
      <c r="K34" s="19">
        <f>J34*H34</f>
        <v/>
      </c>
      <c r="L34" s="8" t="n">
        <v>52</v>
      </c>
      <c r="M34" s="3">
        <f>L34/E5</f>
        <v/>
      </c>
      <c r="N34" s="8">
        <f>ROUNDDOWN(M34*E6,0)</f>
        <v/>
      </c>
      <c r="O34" s="20" t="n">
        <v>37720</v>
      </c>
      <c r="P34" s="21">
        <f>O34/L34</f>
        <v/>
      </c>
      <c r="Q34" s="19">
        <f>N34*P34</f>
        <v/>
      </c>
    </row>
    <row r="35" customFormat="1" s="2">
      <c r="B35" t="inlineStr">
        <is>
          <t>https://www.ic3.gov/Media/PDF/AnnualReport/2022State/StateReport.aspx#?s=47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>
        <v>609</v>
      </c>
      <c r="F35" s="3">
        <f>E35/E5</f>
        <v/>
      </c>
      <c r="G35">
        <f>F35*E6</f>
        <v/>
      </c>
      <c r="H35">
        <f>ROUNDDOWN(F35*E6,0)</f>
        <v/>
      </c>
      <c r="I35" s="20" t="n">
        <v>12760219</v>
      </c>
      <c r="J35" s="19">
        <f>I35/E35</f>
        <v/>
      </c>
      <c r="K35" s="19">
        <f>J35*H35</f>
        <v/>
      </c>
      <c r="L35" s="8" t="n">
        <v>99</v>
      </c>
      <c r="M35" s="3">
        <f>L35/E5</f>
        <v/>
      </c>
      <c r="N35" s="8">
        <f>ROUNDDOWN(M35*E6,0)</f>
        <v/>
      </c>
      <c r="O35" s="20" t="n">
        <v>2028988</v>
      </c>
      <c r="P35" s="21">
        <f>O35/L35</f>
        <v/>
      </c>
      <c r="Q35" s="19">
        <f>N35*P35</f>
        <v/>
      </c>
    </row>
    <row r="36" customFormat="1" s="2">
      <c r="B36" t="inlineStr">
        <is>
          <t>https://www.ic3.gov/Media/PDF/AnnualReport/2022State/StateReport.aspx#?s=47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>
        <v>28</v>
      </c>
      <c r="F36" s="3">
        <f>E36/E5</f>
        <v/>
      </c>
      <c r="G36">
        <f>F36*E6</f>
        <v/>
      </c>
      <c r="H36">
        <f>ROUNDDOWN(F36*E6,0)</f>
        <v/>
      </c>
      <c r="I36" s="20" t="n">
        <v>1100</v>
      </c>
      <c r="J36" s="19">
        <f>I36/E36</f>
        <v/>
      </c>
      <c r="K36" s="19">
        <f>J36*H36</f>
        <v/>
      </c>
      <c r="L36" s="8" t="n">
        <v>12</v>
      </c>
      <c r="M36" s="3">
        <f>L36/E5</f>
        <v/>
      </c>
      <c r="N36" s="8">
        <f>ROUNDDOWN(M36*E6,0)</f>
        <v/>
      </c>
      <c r="O36" s="21" t="n">
        <v>0</v>
      </c>
      <c r="P36" s="21">
        <f>O36/L36</f>
        <v/>
      </c>
      <c r="Q36" s="19">
        <f>N36*P36</f>
        <v/>
      </c>
    </row>
    <row r="37">
      <c r="G37">
        <f>F37*E6</f>
        <v/>
      </c>
      <c r="K37" s="19">
        <f>J37*H37</f>
        <v/>
      </c>
      <c r="M37" s="3" t="n"/>
      <c r="N37" s="3" t="n"/>
      <c r="O37" s="21" t="n"/>
      <c r="P37" s="21" t="n"/>
    </row>
    <row r="38">
      <c r="E38" s="1">
        <f>SUM(E7:E36)</f>
        <v/>
      </c>
      <c r="G38">
        <f>SUM(G7:G36)</f>
        <v/>
      </c>
      <c r="H38">
        <f>SUM(H8:H36)</f>
        <v/>
      </c>
      <c r="I38" s="18">
        <f>SUM(I7:I36)</f>
        <v/>
      </c>
      <c r="J38" s="19">
        <f>I38/E38</f>
        <v/>
      </c>
      <c r="K38" s="19">
        <f>J38*H38</f>
        <v/>
      </c>
      <c r="M38" s="3" t="n"/>
      <c r="N38" s="3" t="n"/>
      <c r="O38" s="21" t="n"/>
      <c r="P38" s="21" t="n"/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4:P38"/>
  <sheetViews>
    <sheetView topLeftCell="B4" workbookViewId="0">
      <selection activeCell="C10" sqref="C10"/>
    </sheetView>
  </sheetViews>
  <sheetFormatPr baseColWidth="8" defaultRowHeight="14.4"/>
  <cols>
    <col width="70.109375" customWidth="1" min="2" max="2"/>
    <col width="27.5546875" bestFit="1" customWidth="1" min="3" max="3"/>
    <col width="17.6640625" customWidth="1" min="4" max="4"/>
    <col width="8.88671875" customWidth="1" min="5" max="5"/>
    <col width="24.6640625" customWidth="1" min="6" max="6"/>
    <col width="48.88671875" customWidth="1" min="7" max="7"/>
    <col width="41.88671875" customWidth="1" style="18" min="8" max="8"/>
    <col width="44" customWidth="1" style="19" min="9" max="9"/>
    <col width="56.21875" customWidth="1" min="10" max="10"/>
    <col width="34.21875" bestFit="1" customWidth="1" style="8" min="11" max="11"/>
    <col width="34.21875" customWidth="1" style="8" min="12" max="13"/>
    <col width="44.6640625" customWidth="1" min="14" max="15"/>
    <col width="37.77734375" bestFit="1" customWidth="1" min="16" max="16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s="18" t="inlineStr">
        <is>
          <t>State Victim Loss</t>
        </is>
      </c>
      <c r="I4" s="19" t="inlineStr">
        <is>
          <t>Even Loss per State Victim Count</t>
        </is>
      </c>
      <c r="J4" t="inlineStr">
        <is>
          <t>Projected In-City Victim Loss</t>
        </is>
      </c>
      <c r="K4" s="8" t="inlineStr">
        <is>
          <t>State Subject (Perpetrator) Count</t>
        </is>
      </c>
      <c r="L4" s="8" t="inlineStr">
        <is>
          <t>Subject (Perpetrator) to State Population</t>
        </is>
      </c>
      <c r="M4" s="8" t="inlineStr">
        <is>
          <t>Estimated Subject to City Population</t>
        </is>
      </c>
      <c r="N4" t="inlineStr">
        <is>
          <t>State Subject Losses (Perpetrator gained X dollars)</t>
        </is>
      </c>
      <c r="O4" s="8" t="inlineStr">
        <is>
          <t>Even Loss per State Subject</t>
        </is>
      </c>
      <c r="P4" s="8" t="inlineStr">
        <is>
          <t xml:space="preserve">Estimated In-City Subject Losses (Perpetrator Take from Victim) </t>
        </is>
      </c>
    </row>
    <row r="5">
      <c r="B5" t="inlineStr">
        <is>
          <t>https://www.census.gov/quickfacts/fact/table/TN/PST045222</t>
        </is>
      </c>
      <c r="C5" t="inlineStr">
        <is>
          <t>TN Population in 20</t>
        </is>
      </c>
      <c r="D5" t="inlineStr">
        <is>
          <t>Population Estimate</t>
        </is>
      </c>
      <c r="E5" s="1" t="n"/>
      <c r="F5" t="inlineStr">
        <is>
          <t>Raw Value</t>
        </is>
      </c>
      <c r="G5" t="inlineStr">
        <is>
          <t>(Victim Count/State Population ) * City Population</t>
        </is>
      </c>
      <c r="J5" t="inlineStr">
        <is>
          <t>Estimated In-City Victims * Even Loss per State Victim</t>
        </is>
      </c>
      <c r="P5" t="inlineStr">
        <is>
          <t>Subject to City * Even Loss per State Subject</t>
        </is>
      </c>
    </row>
    <row r="6" customFormat="1" s="2">
      <c r="B6" t="inlineStr">
        <is>
          <t>https://www.census.gov/quickfacts/chattanoogacitytennessee</t>
        </is>
      </c>
      <c r="C6" t="inlineStr">
        <is>
          <t>Chattanooga Population in 20</t>
        </is>
      </c>
      <c r="D6" t="inlineStr">
        <is>
          <t>Population Estimate</t>
        </is>
      </c>
      <c r="E6" s="1" t="n"/>
      <c r="H6" s="18" t="n"/>
      <c r="I6" s="19" t="n"/>
      <c r="K6" s="8" t="n"/>
      <c r="L6" s="8" t="n"/>
      <c r="M6" s="8" t="n"/>
    </row>
    <row r="7" customFormat="1" s="2">
      <c r="B7" t="inlineStr">
        <is>
          <t>https://www.ic3.gov/Media/PDF/AnnualReport/2022State/StateReport.aspx#?s=47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/>
      <c r="F7" s="3">
        <f>E7/E5</f>
        <v/>
      </c>
      <c r="G7">
        <f>ROUNDDOWN(F7*E6,0)</f>
        <v/>
      </c>
      <c r="H7" s="18" t="n"/>
      <c r="I7" s="19">
        <f>H7/E7</f>
        <v/>
      </c>
      <c r="J7" s="19">
        <f>I7*G7</f>
        <v/>
      </c>
      <c r="K7" s="8" t="n"/>
      <c r="L7" s="3">
        <f>K7/E5</f>
        <v/>
      </c>
      <c r="M7" s="8">
        <f>ROUNDDOWN(L7*E6,0)</f>
        <v/>
      </c>
      <c r="N7" s="21" t="n"/>
      <c r="O7" s="21">
        <f>N7/K7</f>
        <v/>
      </c>
      <c r="P7" s="19">
        <f>M7*O7</f>
        <v/>
      </c>
    </row>
    <row r="8" customFormat="1" s="2">
      <c r="B8" t="inlineStr">
        <is>
          <t>https://www.ic3.gov/Media/PDF/AnnualReport/2022State/StateReport.aspx#?s=47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/>
      <c r="F8" s="3">
        <f>E8/E5</f>
        <v/>
      </c>
      <c r="G8">
        <f>ROUNDDOWN(F8*E6,0)</f>
        <v/>
      </c>
      <c r="H8" s="18" t="n"/>
      <c r="I8" s="19">
        <f>H8/E8</f>
        <v/>
      </c>
      <c r="J8" s="19">
        <f>I8*G8</f>
        <v/>
      </c>
      <c r="K8" s="8" t="n"/>
      <c r="L8" s="3">
        <f>K8/E5</f>
        <v/>
      </c>
      <c r="M8" s="8">
        <f>ROUNDDOWN(L8*E6,0)</f>
        <v/>
      </c>
      <c r="N8" s="21" t="n"/>
      <c r="O8" s="21">
        <f>N8/K8</f>
        <v/>
      </c>
      <c r="P8" s="19">
        <f>M8*O8</f>
        <v/>
      </c>
    </row>
    <row r="9" customFormat="1" s="2">
      <c r="B9" t="inlineStr">
        <is>
          <t>https://www.ic3.gov/Media/PDF/AnnualReport/2022State/StateReport.aspx#?s=47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n"/>
      <c r="F9" s="3">
        <f>E9/E5</f>
        <v/>
      </c>
      <c r="G9">
        <f>ROUNDDOWN(F9*E6,0)</f>
        <v/>
      </c>
      <c r="H9" s="20" t="n"/>
      <c r="I9" s="19">
        <f>H9/E9</f>
        <v/>
      </c>
      <c r="J9" s="19">
        <f>I9*G9</f>
        <v/>
      </c>
      <c r="K9" s="8" t="n"/>
      <c r="L9" s="3">
        <f>K9/E5</f>
        <v/>
      </c>
      <c r="M9" s="8">
        <f>ROUNDDOWN(L9*E6,0)</f>
        <v/>
      </c>
      <c r="N9" s="21" t="n"/>
      <c r="O9" s="21">
        <f>N9/K9</f>
        <v/>
      </c>
      <c r="P9" s="19">
        <f>M9*O9</f>
        <v/>
      </c>
    </row>
    <row r="10" customFormat="1" s="2">
      <c r="B10" t="inlineStr">
        <is>
          <t>https://www.ic3.gov/Media/PDF/AnnualReport/2022State/StateReport.aspx#?s=47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/>
      <c r="F10" s="3">
        <f>E10/E5</f>
        <v/>
      </c>
      <c r="G10">
        <f>ROUNDDOWN(F10*E6,0)</f>
        <v/>
      </c>
      <c r="H10" s="20" t="n"/>
      <c r="I10" s="19">
        <f>H10/E10</f>
        <v/>
      </c>
      <c r="J10" s="19">
        <f>I10*G10</f>
        <v/>
      </c>
      <c r="K10" s="8" t="n"/>
      <c r="L10" s="3">
        <f>K10/E5</f>
        <v/>
      </c>
      <c r="M10" s="8">
        <f>ROUNDDOWN(L10*E6,0)</f>
        <v/>
      </c>
      <c r="N10" s="21" t="n"/>
      <c r="O10" s="21">
        <f>N10/K10</f>
        <v/>
      </c>
      <c r="P10" s="19">
        <f>M10*O10</f>
        <v/>
      </c>
    </row>
    <row r="11" customFormat="1" s="2">
      <c r="B11" t="inlineStr">
        <is>
          <t>https://www.ic3.gov/Media/PDF/AnnualReport/2022State/StateReport.aspx#?s=47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n"/>
      <c r="F11" s="3">
        <f>E11/E5</f>
        <v/>
      </c>
      <c r="G11">
        <f>ROUNDDOWN(F11*E6,0)</f>
        <v/>
      </c>
      <c r="H11" s="22" t="n"/>
      <c r="I11" s="19">
        <f>H11/E11</f>
        <v/>
      </c>
      <c r="J11" s="19">
        <f>I11*G11</f>
        <v/>
      </c>
      <c r="K11" s="8" t="n"/>
      <c r="L11" s="3">
        <f>K11/E5</f>
        <v/>
      </c>
      <c r="M11" s="8">
        <f>ROUNDDOWN(L11*E6,0)</f>
        <v/>
      </c>
      <c r="N11" s="21" t="n"/>
      <c r="O11" s="21">
        <f>N11/K11</f>
        <v/>
      </c>
      <c r="P11" s="19">
        <f>M11*O11</f>
        <v/>
      </c>
    </row>
    <row r="12" customFormat="1" s="2">
      <c r="B12" t="inlineStr">
        <is>
          <t>https://www.ic3.gov/Media/PDF/AnnualReport/2022State/StateReport.aspx#?s=47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/>
      <c r="F12" s="3">
        <f>E12/E5</f>
        <v/>
      </c>
      <c r="G12">
        <f>ROUNDDOWN(F12*E6,0)</f>
        <v/>
      </c>
      <c r="H12" s="18" t="n"/>
      <c r="I12" s="19">
        <f>H12/E12</f>
        <v/>
      </c>
      <c r="J12" s="19">
        <f>I12*G12</f>
        <v/>
      </c>
      <c r="K12" s="8" t="n"/>
      <c r="L12" s="3">
        <f>K12/E5</f>
        <v/>
      </c>
      <c r="M12" s="8">
        <f>ROUNDDOWN(L12*E6,0)</f>
        <v/>
      </c>
      <c r="N12" s="21" t="n"/>
      <c r="O12" s="21">
        <f>N12/K12</f>
        <v/>
      </c>
      <c r="P12" s="19">
        <f>M12*O12</f>
        <v/>
      </c>
    </row>
    <row r="13" customFormat="1" s="2">
      <c r="B13" t="inlineStr">
        <is>
          <t>https://www.ic3.gov/Media/PDF/AnnualReport/2022State/StateReport.aspx#?s=47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/>
      <c r="F13" s="3">
        <f>E13/E5</f>
        <v/>
      </c>
      <c r="G13">
        <f>ROUNDDOWN(F13*E6,0)</f>
        <v/>
      </c>
      <c r="H13" s="18" t="n"/>
      <c r="I13" s="19">
        <f>H13/E13</f>
        <v/>
      </c>
      <c r="J13" s="19">
        <f>I13*G13</f>
        <v/>
      </c>
      <c r="K13" s="8" t="n"/>
      <c r="L13" s="3">
        <f>K13/E5</f>
        <v/>
      </c>
      <c r="M13" s="8">
        <f>ROUNDDOWN(L13*E6,0)</f>
        <v/>
      </c>
      <c r="N13" s="21" t="n"/>
      <c r="O13" s="21">
        <f>N13/K13</f>
        <v/>
      </c>
      <c r="P13" s="19">
        <f>M13*O13</f>
        <v/>
      </c>
    </row>
    <row r="14" customFormat="1" s="2">
      <c r="B14" t="inlineStr">
        <is>
          <t>https://www.ic3.gov/Media/PDF/AnnualReport/2022State/StateReport.aspx#?s=47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/>
      <c r="F14" s="3">
        <f>E14/E5</f>
        <v/>
      </c>
      <c r="G14">
        <f>ROUNDDOWN(F14*E6,0)</f>
        <v/>
      </c>
      <c r="H14" s="20" t="n"/>
      <c r="I14" s="19">
        <f>H14/E14</f>
        <v/>
      </c>
      <c r="J14" s="19">
        <f>I14*G14</f>
        <v/>
      </c>
      <c r="K14" s="8" t="n"/>
      <c r="L14" s="3">
        <f>K14/E5</f>
        <v/>
      </c>
      <c r="M14" s="8">
        <f>ROUNDDOWN(L14*E6,0)</f>
        <v/>
      </c>
      <c r="N14" s="21" t="n"/>
      <c r="O14" s="21">
        <f>N14/K14</f>
        <v/>
      </c>
      <c r="P14" s="19">
        <f>M14*O14</f>
        <v/>
      </c>
    </row>
    <row r="15" customFormat="1" s="2">
      <c r="B15" t="inlineStr">
        <is>
          <t>https://www.ic3.gov/Media/PDF/AnnualReport/2022State/StateReport.aspx#?s=47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/>
      <c r="F15" s="3">
        <f>E15/E5</f>
        <v/>
      </c>
      <c r="G15">
        <f>ROUNDDOWN(F15*E6,0)</f>
        <v/>
      </c>
      <c r="H15" s="20" t="n"/>
      <c r="I15" s="19">
        <f>H15/E15</f>
        <v/>
      </c>
      <c r="J15" s="19">
        <f>I15*G15</f>
        <v/>
      </c>
      <c r="K15" s="8" t="n"/>
      <c r="L15" s="3">
        <f>K15/E5</f>
        <v/>
      </c>
      <c r="M15" s="8">
        <f>ROUNDDOWN(L15*E6,0)</f>
        <v/>
      </c>
      <c r="N15" s="21" t="n"/>
      <c r="O15" s="21">
        <f>N15/K15</f>
        <v/>
      </c>
      <c r="P15" s="19">
        <f>M15*O15</f>
        <v/>
      </c>
    </row>
    <row r="16" customFormat="1" s="2">
      <c r="B16" t="inlineStr">
        <is>
          <t>https://www.ic3.gov/Media/PDF/AnnualReport/2022State/StateReport.aspx#?s=47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/>
      <c r="F16" s="3">
        <f>E16/E5</f>
        <v/>
      </c>
      <c r="G16">
        <f>ROUNDDOWN(F16*E6,0)</f>
        <v/>
      </c>
      <c r="H16" s="20" t="n"/>
      <c r="I16" s="19">
        <f>H16/E16</f>
        <v/>
      </c>
      <c r="J16" s="19">
        <f>I16*G16</f>
        <v/>
      </c>
      <c r="K16" s="8" t="n"/>
      <c r="L16" s="3">
        <f>K16/E5</f>
        <v/>
      </c>
      <c r="M16" s="8">
        <f>ROUNDDOWN(L16*E6,0)</f>
        <v/>
      </c>
      <c r="N16" s="21" t="n"/>
      <c r="O16" s="21">
        <f>N16/K16</f>
        <v/>
      </c>
      <c r="P16" s="19">
        <f>M16*O16</f>
        <v/>
      </c>
    </row>
    <row r="17" customFormat="1" s="2">
      <c r="B17" t="inlineStr">
        <is>
          <t>https://www.ic3.gov/Media/PDF/AnnualReport/2022State/StateReport.aspx#?s=47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n"/>
      <c r="F17" s="3">
        <f>E17/E5</f>
        <v/>
      </c>
      <c r="G17">
        <f>ROUNDDOWN(F17*E6,0)</f>
        <v/>
      </c>
      <c r="H17" s="20" t="n"/>
      <c r="I17" s="19">
        <f>H17/E17</f>
        <v/>
      </c>
      <c r="J17" s="19">
        <f>I17*G17</f>
        <v/>
      </c>
      <c r="K17" s="8" t="n"/>
      <c r="L17" s="3">
        <f>K17/E5</f>
        <v/>
      </c>
      <c r="M17" s="8">
        <f>ROUNDDOWN(L17*E6,0)</f>
        <v/>
      </c>
      <c r="N17" s="23" t="n"/>
      <c r="O17" s="21">
        <f>N17/K17</f>
        <v/>
      </c>
      <c r="P17" s="19">
        <f>M17*O17</f>
        <v/>
      </c>
    </row>
    <row r="18" customFormat="1" s="2">
      <c r="B18" t="inlineStr">
        <is>
          <t>https://www.ic3.gov/Media/PDF/AnnualReport/2022State/StateReport.aspx#?s=47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/>
      <c r="F18" s="3">
        <f>E18/E5</f>
        <v/>
      </c>
      <c r="G18">
        <f>ROUNDDOWN(F18*E6,0)</f>
        <v/>
      </c>
      <c r="H18" s="20" t="n"/>
      <c r="I18" s="19">
        <f>H18/E18</f>
        <v/>
      </c>
      <c r="J18" s="19">
        <f>I18*G18</f>
        <v/>
      </c>
      <c r="K18" s="8" t="n"/>
      <c r="L18" s="3">
        <f>K18/E5</f>
        <v/>
      </c>
      <c r="M18" s="8">
        <f>ROUNDDOWN(L18*E6,0)</f>
        <v/>
      </c>
      <c r="N18" s="21" t="n"/>
      <c r="O18" s="21">
        <f>N18/K18</f>
        <v/>
      </c>
      <c r="P18" s="19">
        <f>M18*O18</f>
        <v/>
      </c>
    </row>
    <row r="19" customFormat="1" s="2">
      <c r="B19" t="inlineStr">
        <is>
          <t>https://www.ic3.gov/Media/PDF/AnnualReport/2022State/StateReport.aspx#?s=47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/>
      <c r="F19" s="3">
        <f>E19/E5</f>
        <v/>
      </c>
      <c r="G19">
        <f>ROUNDDOWN(F19*E6,0)</f>
        <v/>
      </c>
      <c r="H19" s="20" t="n"/>
      <c r="I19" s="19">
        <f>H19/E19</f>
        <v/>
      </c>
      <c r="J19" s="19">
        <f>I19*G19</f>
        <v/>
      </c>
      <c r="K19" s="8" t="n"/>
      <c r="L19" s="3">
        <f>K19/E5</f>
        <v/>
      </c>
      <c r="M19" s="8">
        <f>ROUNDDOWN(L19*E6,0)</f>
        <v/>
      </c>
      <c r="N19" s="21" t="n"/>
      <c r="O19" s="21">
        <f>N19/K19</f>
        <v/>
      </c>
      <c r="P19" s="19">
        <f>M19*O19</f>
        <v/>
      </c>
    </row>
    <row r="20" customFormat="1" s="2">
      <c r="B20" t="inlineStr">
        <is>
          <t>https://www.ic3.gov/Media/PDF/AnnualReport/2022State/StateReport.aspx#?s=47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/>
      <c r="F20" s="3">
        <f>E20/E5</f>
        <v/>
      </c>
      <c r="G20">
        <f>ROUNDDOWN(F20*E6,0)</f>
        <v/>
      </c>
      <c r="H20" s="20" t="n"/>
      <c r="I20" s="19">
        <f>H20/E20</f>
        <v/>
      </c>
      <c r="J20" s="19">
        <f>I20*G20</f>
        <v/>
      </c>
      <c r="K20" s="8" t="n"/>
      <c r="L20" s="3">
        <f>K20/E5</f>
        <v/>
      </c>
      <c r="M20" s="8">
        <f>ROUNDDOWN(L20*E6,0)</f>
        <v/>
      </c>
      <c r="N20" s="21" t="n"/>
      <c r="O20" s="21">
        <f>N20/K20</f>
        <v/>
      </c>
      <c r="P20" s="19">
        <f>M20*O20</f>
        <v/>
      </c>
    </row>
    <row r="21" customFormat="1" s="2">
      <c r="B21" t="inlineStr">
        <is>
          <t>https://www.ic3.gov/Media/PDF/AnnualReport/2022State/StateReport.aspx#?s=47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/>
      <c r="F21" s="3">
        <f>E21/E5</f>
        <v/>
      </c>
      <c r="G21">
        <f>ROUNDDOWN(F21*E6,0)</f>
        <v/>
      </c>
      <c r="H21" s="20" t="n"/>
      <c r="I21" s="19">
        <f>H21/E21</f>
        <v/>
      </c>
      <c r="J21" s="19">
        <f>I21*G21</f>
        <v/>
      </c>
      <c r="K21" s="8" t="n"/>
      <c r="L21" s="3">
        <f>K21/E5</f>
        <v/>
      </c>
      <c r="M21" s="8">
        <f>ROUNDDOWN(L21*E6,0)</f>
        <v/>
      </c>
      <c r="N21" s="21" t="n"/>
      <c r="O21" s="21">
        <f>N21/K21</f>
        <v/>
      </c>
      <c r="P21" s="19">
        <f>M21*O21</f>
        <v/>
      </c>
    </row>
    <row r="22" customFormat="1" s="2">
      <c r="B22" t="inlineStr">
        <is>
          <t>https://www.ic3.gov/Media/PDF/AnnualReport/2022State/StateReport.aspx#?s=47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/>
      <c r="F22" s="3">
        <f>E22/E5</f>
        <v/>
      </c>
      <c r="G22">
        <f>ROUNDDOWN(F22*E6,0)</f>
        <v/>
      </c>
      <c r="H22" s="20" t="n"/>
      <c r="I22" s="19">
        <f>H22/E22</f>
        <v/>
      </c>
      <c r="J22" s="19">
        <f>I22*G22</f>
        <v/>
      </c>
      <c r="K22" s="8" t="n"/>
      <c r="L22" s="3">
        <f>K22/E5</f>
        <v/>
      </c>
      <c r="M22" s="8">
        <f>ROUNDDOWN(L22*E6,0)</f>
        <v/>
      </c>
      <c r="N22" s="21" t="n"/>
      <c r="O22" s="21">
        <f>N22/K22</f>
        <v/>
      </c>
      <c r="P22" s="19">
        <f>M22*O22</f>
        <v/>
      </c>
    </row>
    <row r="23" customFormat="1" s="2">
      <c r="B23" t="inlineStr">
        <is>
          <t>https://www.ic3.gov/Media/PDF/AnnualReport/2022State/StateReport.aspx#?s=47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n"/>
      <c r="F23" s="3">
        <f>E23/E5</f>
        <v/>
      </c>
      <c r="G23">
        <f>ROUNDDOWN(F23*E6,0)</f>
        <v/>
      </c>
      <c r="H23" s="20" t="n"/>
      <c r="I23" s="19">
        <f>H23/E23</f>
        <v/>
      </c>
      <c r="J23" s="19">
        <f>I23*G23</f>
        <v/>
      </c>
      <c r="K23" s="8" t="n"/>
      <c r="L23" s="3">
        <f>K23/E5</f>
        <v/>
      </c>
      <c r="M23" s="8">
        <f>ROUNDDOWN(L23*E6,0)</f>
        <v/>
      </c>
      <c r="N23" s="21" t="n"/>
      <c r="O23" s="21">
        <f>N23/K23</f>
        <v/>
      </c>
      <c r="P23" s="19">
        <f>M23*O23</f>
        <v/>
      </c>
    </row>
    <row r="24" customFormat="1" s="2">
      <c r="B24" t="inlineStr">
        <is>
          <t>https://www.ic3.gov/Media/PDF/AnnualReport/2022State/StateReport.aspx#?s=47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n"/>
      <c r="F24" s="3">
        <f>E24/E5</f>
        <v/>
      </c>
      <c r="G24">
        <f>ROUNDDOWN(F24*E6,0)</f>
        <v/>
      </c>
      <c r="H24" s="20" t="n"/>
      <c r="I24" s="19">
        <f>H24/E24</f>
        <v/>
      </c>
      <c r="J24" s="19">
        <f>I24*G24</f>
        <v/>
      </c>
      <c r="K24" s="8" t="n"/>
      <c r="L24" s="3">
        <f>K24/E5</f>
        <v/>
      </c>
      <c r="M24" s="8">
        <f>ROUNDDOWN(L24*E6,0)</f>
        <v/>
      </c>
      <c r="N24" s="21" t="n"/>
      <c r="O24" s="21">
        <f>N24/K24</f>
        <v/>
      </c>
      <c r="P24" s="19">
        <f>M24*O24</f>
        <v/>
      </c>
    </row>
    <row r="25" customFormat="1" s="2">
      <c r="B25" t="inlineStr">
        <is>
          <t>https://www.ic3.gov/Media/PDF/AnnualReport/2022State/StateReport.aspx#?s=47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/>
      <c r="F25" s="3">
        <f>E25/E5</f>
        <v/>
      </c>
      <c r="G25">
        <f>ROUNDDOWN(F25*E6,0)</f>
        <v/>
      </c>
      <c r="H25" s="20" t="n"/>
      <c r="I25" s="19">
        <f>H25/E25</f>
        <v/>
      </c>
      <c r="J25" s="19">
        <f>I25*G25</f>
        <v/>
      </c>
      <c r="K25" s="8" t="n"/>
      <c r="L25" s="3">
        <f>K25/E5</f>
        <v/>
      </c>
      <c r="M25" s="8">
        <f>ROUNDDOWN(L25*E6,0)</f>
        <v/>
      </c>
      <c r="N25" s="21" t="n"/>
      <c r="O25" s="21">
        <f>N25/K25</f>
        <v/>
      </c>
      <c r="P25" s="19">
        <f>M25*O25</f>
        <v/>
      </c>
    </row>
    <row r="26" customFormat="1" s="2">
      <c r="B26" t="inlineStr">
        <is>
          <t>https://www.ic3.gov/Media/PDF/AnnualReport/2022State/StateReport.aspx#?s=47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/>
      <c r="F26" s="3">
        <f>E26/E5</f>
        <v/>
      </c>
      <c r="G26">
        <f>ROUNDDOWN(F26*E6,0)</f>
        <v/>
      </c>
      <c r="H26" s="20" t="n"/>
      <c r="I26" s="19">
        <f>H26/E26</f>
        <v/>
      </c>
      <c r="J26" s="19">
        <f>I26*G26</f>
        <v/>
      </c>
      <c r="K26" s="8" t="n"/>
      <c r="L26" s="3">
        <f>K26/E5</f>
        <v/>
      </c>
      <c r="M26" s="8">
        <f>ROUNDDOWN(L26*E6,0)</f>
        <v/>
      </c>
      <c r="N26" s="20" t="n"/>
      <c r="O26" s="21">
        <f>N26/K26</f>
        <v/>
      </c>
      <c r="P26" s="19">
        <f>M26*O26</f>
        <v/>
      </c>
    </row>
    <row r="27" customFormat="1" s="2">
      <c r="B27" t="inlineStr">
        <is>
          <t>https://www.ic3.gov/Media/PDF/AnnualReport/2022State/StateReport.aspx#?s=47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/>
      <c r="F27" s="3">
        <f>E27/E5</f>
        <v/>
      </c>
      <c r="G27">
        <f>ROUNDDOWN(F27*E6,0)</f>
        <v/>
      </c>
      <c r="H27" s="20" t="n"/>
      <c r="I27" s="19">
        <f>H27/E27</f>
        <v/>
      </c>
      <c r="J27" s="19">
        <f>I27*G27</f>
        <v/>
      </c>
      <c r="K27" s="8" t="n"/>
      <c r="L27" s="3">
        <f>K27/E5</f>
        <v/>
      </c>
      <c r="M27" s="8">
        <f>ROUNDDOWN(L27*E6,0)</f>
        <v/>
      </c>
      <c r="N27" s="20" t="n"/>
      <c r="O27" s="21">
        <f>N27/K27</f>
        <v/>
      </c>
      <c r="P27" s="19">
        <f>M27*O27</f>
        <v/>
      </c>
    </row>
    <row r="28" customFormat="1" s="2">
      <c r="B28" t="inlineStr">
        <is>
          <t>https://www.ic3.gov/Media/PDF/AnnualReport/2022State/StateReport.aspx#?s=47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/>
      <c r="F28" s="3">
        <f>E28/E5</f>
        <v/>
      </c>
      <c r="G28">
        <f>ROUNDDOWN(F28*E6,0)</f>
        <v/>
      </c>
      <c r="H28" s="20" t="n"/>
      <c r="I28" s="19">
        <f>H28/E28</f>
        <v/>
      </c>
      <c r="J28" s="19">
        <f>I28*G28</f>
        <v/>
      </c>
      <c r="K28" s="8" t="n"/>
      <c r="L28" s="3">
        <f>K28/E5</f>
        <v/>
      </c>
      <c r="M28" s="8">
        <f>ROUNDDOWN(L28*E6,0)</f>
        <v/>
      </c>
      <c r="N28" s="20" t="n"/>
      <c r="O28" s="21">
        <f>N28/K28</f>
        <v/>
      </c>
      <c r="P28" s="19">
        <f>M28*O28</f>
        <v/>
      </c>
    </row>
    <row r="29" customFormat="1" s="2">
      <c r="B29" t="inlineStr">
        <is>
          <t>https://www.ic3.gov/Media/PDF/AnnualReport/2022State/StateReport.aspx#?s=47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/>
      <c r="F29" s="3">
        <f>E29/E5</f>
        <v/>
      </c>
      <c r="G29">
        <f>ROUNDDOWN(F29*E6,0)</f>
        <v/>
      </c>
      <c r="H29" s="20" t="n"/>
      <c r="I29" s="19">
        <f>H29/E29</f>
        <v/>
      </c>
      <c r="J29" s="19">
        <f>I29*G29</f>
        <v/>
      </c>
      <c r="K29" s="8" t="n"/>
      <c r="L29" s="3">
        <f>K29/E5</f>
        <v/>
      </c>
      <c r="M29" s="8">
        <f>ROUNDDOWN(L29*E6,0)</f>
        <v/>
      </c>
      <c r="N29" s="20" t="n"/>
      <c r="O29" s="21">
        <f>N29/K29</f>
        <v/>
      </c>
      <c r="P29" s="19">
        <f>M29*O29</f>
        <v/>
      </c>
    </row>
    <row r="30" customFormat="1" s="2">
      <c r="B30" t="inlineStr">
        <is>
          <t>https://www.ic3.gov/Media/PDF/AnnualReport/2022State/StateReport.aspx#?s=47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/>
      <c r="F30" s="3">
        <f>E30/E5</f>
        <v/>
      </c>
      <c r="G30">
        <f>ROUNDDOWN(F30*E6,0)</f>
        <v/>
      </c>
      <c r="H30" s="20" t="n"/>
      <c r="I30" s="19">
        <f>H30/E30</f>
        <v/>
      </c>
      <c r="J30" s="19">
        <f>I30*G30</f>
        <v/>
      </c>
      <c r="K30" s="8" t="n"/>
      <c r="L30" s="3">
        <f>K30/E5</f>
        <v/>
      </c>
      <c r="M30" s="8">
        <f>ROUNDDOWN(L30*E6,0)</f>
        <v/>
      </c>
      <c r="N30" s="20" t="n"/>
      <c r="O30" s="21">
        <f>N30/K30</f>
        <v/>
      </c>
      <c r="P30" s="19">
        <f>M30*O30</f>
        <v/>
      </c>
    </row>
    <row r="31" customFormat="1" s="2">
      <c r="B31" t="inlineStr">
        <is>
          <t>https://www.ic3.gov/Media/PDF/AnnualReport/2022State/StateReport.aspx#?s=47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/>
      <c r="F31" s="3">
        <f>E31/E5</f>
        <v/>
      </c>
      <c r="G31">
        <f>ROUNDDOWN(F31*E6,0)</f>
        <v/>
      </c>
      <c r="H31" s="20" t="n"/>
      <c r="I31" s="19">
        <f>H31/E31</f>
        <v/>
      </c>
      <c r="J31" s="19">
        <f>I31*G31</f>
        <v/>
      </c>
      <c r="K31" s="8" t="n"/>
      <c r="L31" s="3">
        <f>K31/E5</f>
        <v/>
      </c>
      <c r="M31" s="8">
        <f>ROUNDDOWN(L31*E6,0)</f>
        <v/>
      </c>
      <c r="N31" s="21" t="n"/>
      <c r="O31" s="21">
        <f>N31/K31</f>
        <v/>
      </c>
      <c r="P31" s="19">
        <f>M31*O31</f>
        <v/>
      </c>
    </row>
    <row r="32" customFormat="1" s="2">
      <c r="B32" t="inlineStr">
        <is>
          <t>https://www.ic3.gov/Media/PDF/AnnualReport/2022State/StateReport.aspx#?s=47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/>
      <c r="F32" s="3">
        <f>E32/E5</f>
        <v/>
      </c>
      <c r="G32">
        <f>ROUNDDOWN(F32*E6,0)</f>
        <v/>
      </c>
      <c r="H32" s="20" t="n"/>
      <c r="I32" s="19">
        <f>H32/E32</f>
        <v/>
      </c>
      <c r="J32" s="19">
        <f>I32*G32</f>
        <v/>
      </c>
      <c r="K32" s="8" t="n"/>
      <c r="L32" s="3">
        <f>K32/E5</f>
        <v/>
      </c>
      <c r="M32" s="8">
        <f>ROUNDDOWN(L32*E6,0)</f>
        <v/>
      </c>
      <c r="N32" s="20" t="n"/>
      <c r="O32" s="21">
        <f>N32/K32</f>
        <v/>
      </c>
      <c r="P32" s="19">
        <f>M32*O32</f>
        <v/>
      </c>
    </row>
    <row r="33" customFormat="1" s="2">
      <c r="B33" t="inlineStr">
        <is>
          <t>https://www.ic3.gov/Media/PDF/AnnualReport/2022State/StateReport.aspx#?s=47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n"/>
      <c r="F33" s="3">
        <f>E33/E5</f>
        <v/>
      </c>
      <c r="G33">
        <f>ROUNDDOWN(F33*E6,0)</f>
        <v/>
      </c>
      <c r="H33" s="20" t="n"/>
      <c r="I33" s="19">
        <f>H33/E33</f>
        <v/>
      </c>
      <c r="J33" s="19">
        <f>I33*G33</f>
        <v/>
      </c>
      <c r="K33" s="8" t="n"/>
      <c r="L33" s="3">
        <f>K33/E5</f>
        <v/>
      </c>
      <c r="M33" s="8">
        <f>ROUNDDOWN(L33*E6,0)</f>
        <v/>
      </c>
      <c r="N33" s="20" t="n"/>
      <c r="O33" s="21">
        <f>N33/K33</f>
        <v/>
      </c>
      <c r="P33" s="19">
        <f>M33*O33</f>
        <v/>
      </c>
    </row>
    <row r="34" customFormat="1" s="2">
      <c r="B34" t="inlineStr">
        <is>
          <t>https://www.ic3.gov/Media/PDF/AnnualReport/2022State/StateReport.aspx#?s=47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/>
      <c r="F34" s="3">
        <f>E34/E5</f>
        <v/>
      </c>
      <c r="G34">
        <f>ROUNDDOWN(F34*E6,0)</f>
        <v/>
      </c>
      <c r="H34" s="20" t="n"/>
      <c r="I34" s="19">
        <f>H34/E34</f>
        <v/>
      </c>
      <c r="J34" s="19">
        <f>I34*G34</f>
        <v/>
      </c>
      <c r="K34" s="8" t="n"/>
      <c r="L34" s="3">
        <f>K34/E5</f>
        <v/>
      </c>
      <c r="M34" s="8">
        <f>ROUNDDOWN(L34*E6,0)</f>
        <v/>
      </c>
      <c r="N34" s="20" t="n"/>
      <c r="O34" s="21">
        <f>N34/K34</f>
        <v/>
      </c>
      <c r="P34" s="19">
        <f>M34*O34</f>
        <v/>
      </c>
    </row>
    <row r="35" customFormat="1" s="2">
      <c r="B35" t="inlineStr">
        <is>
          <t>https://www.ic3.gov/Media/PDF/AnnualReport/2022State/StateReport.aspx#?s=47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/>
      <c r="F35" s="3">
        <f>E35/E5</f>
        <v/>
      </c>
      <c r="G35">
        <f>ROUNDDOWN(F35*E6,0)</f>
        <v/>
      </c>
      <c r="H35" s="20" t="n"/>
      <c r="I35" s="19">
        <f>H35/E35</f>
        <v/>
      </c>
      <c r="J35" s="19">
        <f>I35*G35</f>
        <v/>
      </c>
      <c r="K35" s="8" t="n"/>
      <c r="L35" s="3">
        <f>K35/E5</f>
        <v/>
      </c>
      <c r="M35" s="8">
        <f>ROUNDDOWN(L35*E6,0)</f>
        <v/>
      </c>
      <c r="N35" s="20" t="n"/>
      <c r="O35" s="21">
        <f>N35/K35</f>
        <v/>
      </c>
      <c r="P35" s="19">
        <f>M35*O35</f>
        <v/>
      </c>
    </row>
    <row r="36" customFormat="1" s="2">
      <c r="B36" t="inlineStr">
        <is>
          <t>https://www.ic3.gov/Media/PDF/AnnualReport/2022State/StateReport.aspx#?s=47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/>
      <c r="F36" s="3">
        <f>E36/E5</f>
        <v/>
      </c>
      <c r="G36">
        <f>ROUNDDOWN(F36*E6,0)</f>
        <v/>
      </c>
      <c r="H36" s="20" t="n"/>
      <c r="I36" s="19">
        <f>H36/E36</f>
        <v/>
      </c>
      <c r="J36" s="19">
        <f>I36*G36</f>
        <v/>
      </c>
      <c r="K36" s="8" t="n"/>
      <c r="L36" s="3">
        <f>K36/E5</f>
        <v/>
      </c>
      <c r="M36" s="8">
        <f>ROUNDDOWN(L36*E6,0)</f>
        <v/>
      </c>
      <c r="N36" s="21" t="n"/>
      <c r="O36" s="21">
        <f>N36/K36</f>
        <v/>
      </c>
      <c r="P36" s="19">
        <f>M36*O36</f>
        <v/>
      </c>
    </row>
    <row r="37">
      <c r="J37" s="19">
        <f>I37*G37</f>
        <v/>
      </c>
      <c r="L37" s="3" t="n"/>
      <c r="M37" s="3" t="n"/>
      <c r="N37" s="21" t="n"/>
      <c r="O37" s="21" t="n"/>
    </row>
    <row r="38">
      <c r="E38" s="1">
        <f>SUM(E7:E36)</f>
        <v/>
      </c>
      <c r="G38">
        <f>SUM(G8:G36)</f>
        <v/>
      </c>
      <c r="I38" s="19">
        <f>H38/E38</f>
        <v/>
      </c>
      <c r="J38" s="19">
        <f>I38*G38</f>
        <v/>
      </c>
      <c r="L38" s="3" t="n"/>
      <c r="M38" s="3" t="n"/>
      <c r="N38" s="21" t="n"/>
      <c r="O38" s="21" t="n"/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4:P38"/>
  <sheetViews>
    <sheetView topLeftCell="A4" workbookViewId="0">
      <selection activeCell="C11" sqref="C11"/>
    </sheetView>
  </sheetViews>
  <sheetFormatPr baseColWidth="8" defaultRowHeight="14.4"/>
  <cols>
    <col width="70.109375" customWidth="1" min="2" max="2"/>
    <col width="27.5546875" bestFit="1" customWidth="1" min="3" max="3"/>
    <col width="17.6640625" customWidth="1" min="4" max="4"/>
    <col width="8.88671875" customWidth="1" min="5" max="5"/>
    <col width="24.6640625" customWidth="1" min="6" max="6"/>
    <col width="48.88671875" customWidth="1" min="7" max="7"/>
    <col width="41.88671875" customWidth="1" style="18" min="8" max="8"/>
    <col width="44" customWidth="1" style="19" min="9" max="9"/>
    <col width="56.21875" customWidth="1" min="10" max="10"/>
    <col width="34.21875" bestFit="1" customWidth="1" style="8" min="11" max="11"/>
    <col width="34.21875" customWidth="1" style="8" min="12" max="13"/>
    <col width="44.6640625" customWidth="1" min="14" max="15"/>
    <col width="37.77734375" bestFit="1" customWidth="1" min="16" max="16"/>
  </cols>
  <sheetData>
    <row r="4">
      <c r="B4" t="inlineStr">
        <is>
          <t>REF URL</t>
        </is>
      </c>
      <c r="C4" t="inlineStr">
        <is>
          <t>Decription</t>
        </is>
      </c>
      <c r="D4" t="inlineStr">
        <is>
          <t>Unit</t>
        </is>
      </c>
      <c r="E4" t="inlineStr">
        <is>
          <t>Value</t>
        </is>
      </c>
      <c r="F4" t="inlineStr">
        <is>
          <t>Value/State Population</t>
        </is>
      </c>
      <c r="G4" t="inlineStr">
        <is>
          <t>Estimated In-City Victims, 2022, As if IC3 Victim Complaint</t>
        </is>
      </c>
      <c r="H4" s="18" t="inlineStr">
        <is>
          <t>State Victim Loss</t>
        </is>
      </c>
      <c r="I4" s="19" t="inlineStr">
        <is>
          <t>Even Loss per State Victim Count</t>
        </is>
      </c>
      <c r="J4" t="inlineStr">
        <is>
          <t>Projected In-City Victim Loss</t>
        </is>
      </c>
      <c r="K4" s="8" t="inlineStr">
        <is>
          <t>State Subject (Perpetrator) Count</t>
        </is>
      </c>
      <c r="L4" s="8" t="inlineStr">
        <is>
          <t>Subject (Perpetrator) to State Population</t>
        </is>
      </c>
      <c r="M4" s="8" t="inlineStr">
        <is>
          <t>Estimated Subject to City Population</t>
        </is>
      </c>
      <c r="N4" t="inlineStr">
        <is>
          <t>State Subject Losses (Perpetrator gained X dollars)</t>
        </is>
      </c>
      <c r="O4" s="8" t="inlineStr">
        <is>
          <t>Even Loss per State Subject</t>
        </is>
      </c>
      <c r="P4" s="8" t="inlineStr">
        <is>
          <t xml:space="preserve">Estimated In-City Subject Losses (Perpetrator Take from Victim) </t>
        </is>
      </c>
    </row>
    <row r="5">
      <c r="B5" t="inlineStr">
        <is>
          <t>https://www.census.gov/quickfacts/fact/table/TN/PST045222</t>
        </is>
      </c>
      <c r="C5" t="inlineStr">
        <is>
          <t>TN Population in 20</t>
        </is>
      </c>
      <c r="D5" t="inlineStr">
        <is>
          <t>Population Estimate</t>
        </is>
      </c>
      <c r="E5" s="1" t="n"/>
      <c r="F5" t="inlineStr">
        <is>
          <t>Raw Value</t>
        </is>
      </c>
      <c r="G5" t="inlineStr">
        <is>
          <t>(Victim Count/State Population ) * City Population</t>
        </is>
      </c>
      <c r="J5" t="inlineStr">
        <is>
          <t>Estimated In-City Victims * Even Loss per State Victim</t>
        </is>
      </c>
      <c r="P5" t="inlineStr">
        <is>
          <t>Subject to City * Even Loss per State Subject</t>
        </is>
      </c>
    </row>
    <row r="6" customFormat="1" s="2">
      <c r="B6" t="inlineStr">
        <is>
          <t>https://www.census.gov/quickfacts/chattanoogacitytennessee</t>
        </is>
      </c>
      <c r="C6" t="inlineStr">
        <is>
          <t>Chattanooga Population in 20</t>
        </is>
      </c>
      <c r="D6" t="inlineStr">
        <is>
          <t>Population Estimate</t>
        </is>
      </c>
      <c r="E6" s="1" t="n"/>
      <c r="H6" s="18" t="n"/>
      <c r="I6" s="19" t="n"/>
      <c r="K6" s="8" t="n"/>
      <c r="L6" s="8" t="n"/>
      <c r="M6" s="8" t="n"/>
    </row>
    <row r="7" customFormat="1" s="2">
      <c r="B7" t="inlineStr">
        <is>
          <t>https://www.ic3.gov/Media/PDF/AnnualReport/2022State/StateReport.aspx#?s=47</t>
        </is>
      </c>
      <c r="C7" t="inlineStr">
        <is>
          <t>Advanced Fee</t>
        </is>
      </c>
      <c r="D7" t="inlineStr">
        <is>
          <t>State Victim Count</t>
        </is>
      </c>
      <c r="E7" s="1" t="n"/>
      <c r="F7" s="3">
        <f>E7/E5</f>
        <v/>
      </c>
      <c r="G7">
        <f>ROUNDDOWN(F7*E6,0)</f>
        <v/>
      </c>
      <c r="H7" s="18" t="n"/>
      <c r="I7" s="19">
        <f>H7/E7</f>
        <v/>
      </c>
      <c r="J7" s="19">
        <f>I7*G7</f>
        <v/>
      </c>
      <c r="K7" s="8" t="n"/>
      <c r="L7" s="3">
        <f>K7/E5</f>
        <v/>
      </c>
      <c r="M7" s="8">
        <f>ROUNDDOWN(L7*E6,0)</f>
        <v/>
      </c>
      <c r="N7" s="21" t="n"/>
      <c r="O7" s="21">
        <f>N7/K7</f>
        <v/>
      </c>
      <c r="P7" s="19">
        <f>M7*O7</f>
        <v/>
      </c>
    </row>
    <row r="8" customFormat="1" s="2">
      <c r="B8" t="inlineStr">
        <is>
          <t>https://www.ic3.gov/Media/PDF/AnnualReport/2022State/StateReport.aspx#?s=47</t>
        </is>
      </c>
      <c r="C8" t="inlineStr">
        <is>
          <t>Business Email Compromise</t>
        </is>
      </c>
      <c r="D8" t="inlineStr">
        <is>
          <t>State Victim Count</t>
        </is>
      </c>
      <c r="E8" s="1" t="n"/>
      <c r="F8" s="3">
        <f>E8/E5</f>
        <v/>
      </c>
      <c r="G8">
        <f>ROUNDDOWN(F8*E6,0)</f>
        <v/>
      </c>
      <c r="H8" s="18" t="n"/>
      <c r="I8" s="19">
        <f>H8/E8</f>
        <v/>
      </c>
      <c r="J8" s="19">
        <f>I8*G8</f>
        <v/>
      </c>
      <c r="K8" s="8" t="n"/>
      <c r="L8" s="3">
        <f>K8/E5</f>
        <v/>
      </c>
      <c r="M8" s="8">
        <f>ROUNDDOWN(L8*E6,0)</f>
        <v/>
      </c>
      <c r="N8" s="21" t="n"/>
      <c r="O8" s="21">
        <f>N8/K8</f>
        <v/>
      </c>
      <c r="P8" s="19">
        <f>M8*O8</f>
        <v/>
      </c>
    </row>
    <row r="9" customFormat="1" s="2">
      <c r="B9" t="inlineStr">
        <is>
          <t>https://www.ic3.gov/Media/PDF/AnnualReport/2022State/StateReport.aspx#?s=47</t>
        </is>
      </c>
      <c r="C9" t="inlineStr">
        <is>
          <t>Botnet</t>
        </is>
      </c>
      <c r="D9" t="inlineStr">
        <is>
          <t>State Victim Count</t>
        </is>
      </c>
      <c r="E9" s="1" t="n"/>
      <c r="F9" s="3">
        <f>E9/E5</f>
        <v/>
      </c>
      <c r="G9">
        <f>ROUNDDOWN(F9*E6,0)</f>
        <v/>
      </c>
      <c r="H9" s="20" t="n"/>
      <c r="I9" s="19">
        <f>H9/E9</f>
        <v/>
      </c>
      <c r="J9" s="19">
        <f>I9*G9</f>
        <v/>
      </c>
      <c r="K9" s="8" t="n"/>
      <c r="L9" s="3">
        <f>K9/E5</f>
        <v/>
      </c>
      <c r="M9" s="8">
        <f>ROUNDDOWN(L9*E6,0)</f>
        <v/>
      </c>
      <c r="N9" s="21" t="n"/>
      <c r="O9" s="21">
        <f>N9/K9</f>
        <v/>
      </c>
      <c r="P9" s="19">
        <f>M9*O9</f>
        <v/>
      </c>
    </row>
    <row r="10" customFormat="1" s="2">
      <c r="B10" t="inlineStr">
        <is>
          <t>https://www.ic3.gov/Media/PDF/AnnualReport/2022State/StateReport.aspx#?s=47</t>
        </is>
      </c>
      <c r="C10" t="inlineStr">
        <is>
          <t>Confidence/Romance</t>
        </is>
      </c>
      <c r="D10" t="inlineStr">
        <is>
          <t>State Victim Count</t>
        </is>
      </c>
      <c r="E10" s="1" t="n"/>
      <c r="F10" s="3">
        <f>E10/E5</f>
        <v/>
      </c>
      <c r="G10">
        <f>ROUNDDOWN(F10*E6,0)</f>
        <v/>
      </c>
      <c r="H10" s="20" t="n"/>
      <c r="I10" s="19">
        <f>H10/E10</f>
        <v/>
      </c>
      <c r="J10" s="19">
        <f>I10*G10</f>
        <v/>
      </c>
      <c r="K10" s="8" t="n"/>
      <c r="L10" s="3">
        <f>K10/E5</f>
        <v/>
      </c>
      <c r="M10" s="8">
        <f>ROUNDDOWN(L10*E6,0)</f>
        <v/>
      </c>
      <c r="N10" s="21" t="n"/>
      <c r="O10" s="21">
        <f>N10/K10</f>
        <v/>
      </c>
      <c r="P10" s="19">
        <f>M10*O10</f>
        <v/>
      </c>
    </row>
    <row r="11" customFormat="1" s="2">
      <c r="B11" t="inlineStr">
        <is>
          <t>https://www.ic3.gov/Media/PDF/AnnualReport/2022State/StateReport.aspx#?s=47</t>
        </is>
      </c>
      <c r="C11" t="inlineStr">
        <is>
          <t>Check Fraud</t>
        </is>
      </c>
      <c r="D11" t="inlineStr">
        <is>
          <t>State Victim Count</t>
        </is>
      </c>
      <c r="E11" s="1" t="n"/>
      <c r="F11" s="3">
        <f>E11/E5</f>
        <v/>
      </c>
      <c r="G11">
        <f>ROUNDDOWN(F11*E6,0)</f>
        <v/>
      </c>
      <c r="H11" s="22" t="n"/>
      <c r="I11" s="19">
        <f>H11/E11</f>
        <v/>
      </c>
      <c r="J11" s="19">
        <f>I11*G11</f>
        <v/>
      </c>
      <c r="K11" s="8" t="n"/>
      <c r="L11" s="3">
        <f>K11/E5</f>
        <v/>
      </c>
      <c r="M11" s="8">
        <f>ROUNDDOWN(L11*E6,0)</f>
        <v/>
      </c>
      <c r="N11" s="21" t="n"/>
      <c r="O11" s="21">
        <f>N11/K11</f>
        <v/>
      </c>
      <c r="P11" s="19">
        <f>M11*O11</f>
        <v/>
      </c>
    </row>
    <row r="12" customFormat="1" s="2">
      <c r="B12" t="inlineStr">
        <is>
          <t>https://www.ic3.gov/Media/PDF/AnnualReport/2022State/StateReport.aspx#?s=47</t>
        </is>
      </c>
      <c r="C12" t="inlineStr">
        <is>
          <t>Crimes Against Children</t>
        </is>
      </c>
      <c r="D12" t="inlineStr">
        <is>
          <t>State Victim Count</t>
        </is>
      </c>
      <c r="E12" s="1" t="n"/>
      <c r="F12" s="3">
        <f>E12/E5</f>
        <v/>
      </c>
      <c r="G12">
        <f>ROUNDDOWN(F12*E6,0)</f>
        <v/>
      </c>
      <c r="H12" s="18" t="n"/>
      <c r="I12" s="19">
        <f>H12/E12</f>
        <v/>
      </c>
      <c r="J12" s="19">
        <f>I12*G12</f>
        <v/>
      </c>
      <c r="K12" s="8" t="n"/>
      <c r="L12" s="3">
        <f>K12/E5</f>
        <v/>
      </c>
      <c r="M12" s="8">
        <f>ROUNDDOWN(L12*E6,0)</f>
        <v/>
      </c>
      <c r="N12" s="21" t="n"/>
      <c r="O12" s="21">
        <f>N12/K12</f>
        <v/>
      </c>
      <c r="P12" s="19">
        <f>M12*O12</f>
        <v/>
      </c>
    </row>
    <row r="13" customFormat="1" s="2">
      <c r="B13" t="inlineStr">
        <is>
          <t>https://www.ic3.gov/Media/PDF/AnnualReport/2022State/StateReport.aspx#?s=47</t>
        </is>
      </c>
      <c r="C13" t="inlineStr">
        <is>
          <t xml:space="preserve">Data Breach </t>
        </is>
      </c>
      <c r="D13" t="inlineStr">
        <is>
          <t>State Victim Count</t>
        </is>
      </c>
      <c r="E13" s="1" t="n"/>
      <c r="F13" s="3">
        <f>E13/E5</f>
        <v/>
      </c>
      <c r="G13">
        <f>ROUNDDOWN(F13*E6,0)</f>
        <v/>
      </c>
      <c r="H13" s="18" t="n"/>
      <c r="I13" s="19">
        <f>H13/E13</f>
        <v/>
      </c>
      <c r="J13" s="19">
        <f>I13*G13</f>
        <v/>
      </c>
      <c r="K13" s="8" t="n"/>
      <c r="L13" s="3">
        <f>K13/E5</f>
        <v/>
      </c>
      <c r="M13" s="8">
        <f>ROUNDDOWN(L13*E6,0)</f>
        <v/>
      </c>
      <c r="N13" s="21" t="n"/>
      <c r="O13" s="21">
        <f>N13/K13</f>
        <v/>
      </c>
      <c r="P13" s="19">
        <f>M13*O13</f>
        <v/>
      </c>
    </row>
    <row r="14" customFormat="1" s="2">
      <c r="B14" t="inlineStr">
        <is>
          <t>https://www.ic3.gov/Media/PDF/AnnualReport/2022State/StateReport.aspx#?s=47</t>
        </is>
      </c>
      <c r="C14" t="inlineStr">
        <is>
          <t>Employment</t>
        </is>
      </c>
      <c r="D14" t="inlineStr">
        <is>
          <t>State Victim Count</t>
        </is>
      </c>
      <c r="E14" s="1" t="n"/>
      <c r="F14" s="3">
        <f>E14/E5</f>
        <v/>
      </c>
      <c r="G14">
        <f>ROUNDDOWN(F14*E6,0)</f>
        <v/>
      </c>
      <c r="H14" s="20" t="n"/>
      <c r="I14" s="19">
        <f>H14/E14</f>
        <v/>
      </c>
      <c r="J14" s="19">
        <f>I14*G14</f>
        <v/>
      </c>
      <c r="K14" s="8" t="n"/>
      <c r="L14" s="3">
        <f>K14/E5</f>
        <v/>
      </c>
      <c r="M14" s="8">
        <f>ROUNDDOWN(L14*E6,0)</f>
        <v/>
      </c>
      <c r="N14" s="21" t="n"/>
      <c r="O14" s="21">
        <f>N14/K14</f>
        <v/>
      </c>
      <c r="P14" s="19">
        <f>M14*O14</f>
        <v/>
      </c>
    </row>
    <row r="15" customFormat="1" s="2">
      <c r="B15" t="inlineStr">
        <is>
          <t>https://www.ic3.gov/Media/PDF/AnnualReport/2022State/StateReport.aspx#?s=47</t>
        </is>
      </c>
      <c r="C15" t="inlineStr">
        <is>
          <t>Extortion</t>
        </is>
      </c>
      <c r="D15" t="inlineStr">
        <is>
          <t>State Victim Count</t>
        </is>
      </c>
      <c r="E15" s="1" t="n"/>
      <c r="F15" s="3">
        <f>E15/E5</f>
        <v/>
      </c>
      <c r="G15">
        <f>ROUNDDOWN(F15*E6,0)</f>
        <v/>
      </c>
      <c r="H15" s="20" t="n"/>
      <c r="I15" s="19">
        <f>H15/E15</f>
        <v/>
      </c>
      <c r="J15" s="19">
        <f>I15*G15</f>
        <v/>
      </c>
      <c r="K15" s="8" t="n"/>
      <c r="L15" s="3">
        <f>K15/E5</f>
        <v/>
      </c>
      <c r="M15" s="8">
        <f>ROUNDDOWN(L15*E6,0)</f>
        <v/>
      </c>
      <c r="N15" s="21" t="n"/>
      <c r="O15" s="21">
        <f>N15/K15</f>
        <v/>
      </c>
      <c r="P15" s="19">
        <f>M15*O15</f>
        <v/>
      </c>
    </row>
    <row r="16" customFormat="1" s="2">
      <c r="B16" t="inlineStr">
        <is>
          <t>https://www.ic3.gov/Media/PDF/AnnualReport/2022State/StateReport.aspx#?s=47</t>
        </is>
      </c>
      <c r="C16" t="inlineStr">
        <is>
          <t>Government Impersonation</t>
        </is>
      </c>
      <c r="D16" t="inlineStr">
        <is>
          <t>State Victim Count</t>
        </is>
      </c>
      <c r="E16" s="1" t="n"/>
      <c r="F16" s="3">
        <f>E16/E5</f>
        <v/>
      </c>
      <c r="G16">
        <f>ROUNDDOWN(F16*E6,0)</f>
        <v/>
      </c>
      <c r="H16" s="20" t="n"/>
      <c r="I16" s="19">
        <f>H16/E16</f>
        <v/>
      </c>
      <c r="J16" s="19">
        <f>I16*G16</f>
        <v/>
      </c>
      <c r="K16" s="8" t="n"/>
      <c r="L16" s="3">
        <f>K16/E5</f>
        <v/>
      </c>
      <c r="M16" s="8">
        <f>ROUNDDOWN(L16*E6,0)</f>
        <v/>
      </c>
      <c r="N16" s="21" t="n"/>
      <c r="O16" s="21">
        <f>N16/K16</f>
        <v/>
      </c>
      <c r="P16" s="19">
        <f>M16*O16</f>
        <v/>
      </c>
    </row>
    <row r="17" customFormat="1" s="2">
      <c r="B17" t="inlineStr">
        <is>
          <t>https://www.ic3.gov/Media/PDF/AnnualReport/2022State/StateReport.aspx#?s=47</t>
        </is>
      </c>
      <c r="C17" t="inlineStr">
        <is>
          <t>Harassing/Stalking</t>
        </is>
      </c>
      <c r="D17" t="inlineStr">
        <is>
          <t>State Victim Count</t>
        </is>
      </c>
      <c r="E17" s="1" t="n"/>
      <c r="F17" s="3">
        <f>E17/E5</f>
        <v/>
      </c>
      <c r="G17">
        <f>ROUNDDOWN(F17*E6,0)</f>
        <v/>
      </c>
      <c r="H17" s="20" t="n"/>
      <c r="I17" s="19">
        <f>H17/E17</f>
        <v/>
      </c>
      <c r="J17" s="19">
        <f>I17*G17</f>
        <v/>
      </c>
      <c r="K17" s="8" t="n"/>
      <c r="L17" s="3">
        <f>K17/E5</f>
        <v/>
      </c>
      <c r="M17" s="8">
        <f>ROUNDDOWN(L17*E6,0)</f>
        <v/>
      </c>
      <c r="N17" s="23" t="n"/>
      <c r="O17" s="21">
        <f>N17/K17</f>
        <v/>
      </c>
      <c r="P17" s="19">
        <f>M17*O17</f>
        <v/>
      </c>
    </row>
    <row r="18" customFormat="1" s="2">
      <c r="B18" t="inlineStr">
        <is>
          <t>https://www.ic3.gov/Media/PDF/AnnualReport/2022State/StateReport.aspx#?s=47</t>
        </is>
      </c>
      <c r="C18" t="inlineStr">
        <is>
          <t>IPR/Counterfeit</t>
        </is>
      </c>
      <c r="D18" t="inlineStr">
        <is>
          <t>State Victim Count</t>
        </is>
      </c>
      <c r="E18" s="1" t="n"/>
      <c r="F18" s="3">
        <f>E18/E5</f>
        <v/>
      </c>
      <c r="G18">
        <f>ROUNDDOWN(F18*E6,0)</f>
        <v/>
      </c>
      <c r="H18" s="20" t="n"/>
      <c r="I18" s="19">
        <f>H18/E18</f>
        <v/>
      </c>
      <c r="J18" s="19">
        <f>I18*G18</f>
        <v/>
      </c>
      <c r="K18" s="8" t="n"/>
      <c r="L18" s="3">
        <f>K18/E5</f>
        <v/>
      </c>
      <c r="M18" s="8">
        <f>ROUNDDOWN(L18*E6,0)</f>
        <v/>
      </c>
      <c r="N18" s="21" t="n"/>
      <c r="O18" s="21">
        <f>N18/K18</f>
        <v/>
      </c>
      <c r="P18" s="19">
        <f>M18*O18</f>
        <v/>
      </c>
    </row>
    <row r="19" customFormat="1" s="2">
      <c r="B19" t="inlineStr">
        <is>
          <t>https://www.ic3.gov/Media/PDF/AnnualReport/2022State/StateReport.aspx#?s=47</t>
        </is>
      </c>
      <c r="C19" t="inlineStr">
        <is>
          <t>Identity Theft</t>
        </is>
      </c>
      <c r="D19" t="inlineStr">
        <is>
          <t>State Victim Count</t>
        </is>
      </c>
      <c r="E19" s="1" t="n"/>
      <c r="F19" s="3">
        <f>E19/E5</f>
        <v/>
      </c>
      <c r="G19">
        <f>ROUNDDOWN(F19*E6,0)</f>
        <v/>
      </c>
      <c r="H19" s="20" t="n"/>
      <c r="I19" s="19">
        <f>H19/E19</f>
        <v/>
      </c>
      <c r="J19" s="19">
        <f>I19*G19</f>
        <v/>
      </c>
      <c r="K19" s="8" t="n"/>
      <c r="L19" s="3">
        <f>K19/E5</f>
        <v/>
      </c>
      <c r="M19" s="8">
        <f>ROUNDDOWN(L19*E6,0)</f>
        <v/>
      </c>
      <c r="N19" s="21" t="n"/>
      <c r="O19" s="21">
        <f>N19/K19</f>
        <v/>
      </c>
      <c r="P19" s="19">
        <f>M19*O19</f>
        <v/>
      </c>
    </row>
    <row r="20" customFormat="1" s="2">
      <c r="B20" t="inlineStr">
        <is>
          <t>https://www.ic3.gov/Media/PDF/AnnualReport/2022State/StateReport.aspx#?s=47</t>
        </is>
      </c>
      <c r="C20" t="inlineStr">
        <is>
          <t>Investment</t>
        </is>
      </c>
      <c r="D20" t="inlineStr">
        <is>
          <t>State Victim Count</t>
        </is>
      </c>
      <c r="E20" s="1" t="n"/>
      <c r="F20" s="3">
        <f>E20/E5</f>
        <v/>
      </c>
      <c r="G20">
        <f>ROUNDDOWN(F20*E6,0)</f>
        <v/>
      </c>
      <c r="H20" s="20" t="n"/>
      <c r="I20" s="19">
        <f>H20/E20</f>
        <v/>
      </c>
      <c r="J20" s="19">
        <f>I20*G20</f>
        <v/>
      </c>
      <c r="K20" s="8" t="n"/>
      <c r="L20" s="3">
        <f>K20/E5</f>
        <v/>
      </c>
      <c r="M20" s="8">
        <f>ROUNDDOWN(L20*E6,0)</f>
        <v/>
      </c>
      <c r="N20" s="21" t="n"/>
      <c r="O20" s="21">
        <f>N20/K20</f>
        <v/>
      </c>
      <c r="P20" s="19">
        <f>M20*O20</f>
        <v/>
      </c>
    </row>
    <row r="21" customFormat="1" s="2">
      <c r="B21" t="inlineStr">
        <is>
          <t>https://www.ic3.gov/Media/PDF/AnnualReport/2022State/StateReport.aspx#?s=47</t>
        </is>
      </c>
      <c r="C21" t="inlineStr">
        <is>
          <t>Lottery/Sweepstakes/Inheritance</t>
        </is>
      </c>
      <c r="D21" t="inlineStr">
        <is>
          <t>State Victim Count</t>
        </is>
      </c>
      <c r="E21" s="1" t="n"/>
      <c r="F21" s="3">
        <f>E21/E5</f>
        <v/>
      </c>
      <c r="G21">
        <f>ROUNDDOWN(F21*E6,0)</f>
        <v/>
      </c>
      <c r="H21" s="20" t="n"/>
      <c r="I21" s="19">
        <f>H21/E21</f>
        <v/>
      </c>
      <c r="J21" s="19">
        <f>I21*G21</f>
        <v/>
      </c>
      <c r="K21" s="8" t="n"/>
      <c r="L21" s="3">
        <f>K21/E5</f>
        <v/>
      </c>
      <c r="M21" s="8">
        <f>ROUNDDOWN(L21*E6,0)</f>
        <v/>
      </c>
      <c r="N21" s="21" t="n"/>
      <c r="O21" s="21">
        <f>N21/K21</f>
        <v/>
      </c>
      <c r="P21" s="19">
        <f>M21*O21</f>
        <v/>
      </c>
    </row>
    <row r="22" customFormat="1" s="2">
      <c r="B22" t="inlineStr">
        <is>
          <t>https://www.ic3.gov/Media/PDF/AnnualReport/2022State/StateReport.aspx#?s=47</t>
        </is>
      </c>
      <c r="C22" t="inlineStr">
        <is>
          <t>Malware</t>
        </is>
      </c>
      <c r="D22" t="inlineStr">
        <is>
          <t>State Victim Count</t>
        </is>
      </c>
      <c r="E22" s="1" t="n"/>
      <c r="F22" s="3">
        <f>E22/E5</f>
        <v/>
      </c>
      <c r="G22">
        <f>ROUNDDOWN(F22*E6,0)</f>
        <v/>
      </c>
      <c r="H22" s="20" t="n"/>
      <c r="I22" s="19">
        <f>H22/E22</f>
        <v/>
      </c>
      <c r="J22" s="19">
        <f>I22*G22</f>
        <v/>
      </c>
      <c r="K22" s="8" t="n"/>
      <c r="L22" s="3">
        <f>K22/E5</f>
        <v/>
      </c>
      <c r="M22" s="8">
        <f>ROUNDDOWN(L22*E6,0)</f>
        <v/>
      </c>
      <c r="N22" s="21" t="n"/>
      <c r="O22" s="21">
        <f>N22/K22</f>
        <v/>
      </c>
      <c r="P22" s="19">
        <f>M22*O22</f>
        <v/>
      </c>
    </row>
    <row r="23" customFormat="1" s="2">
      <c r="B23" t="inlineStr">
        <is>
          <t>https://www.ic3.gov/Media/PDF/AnnualReport/2022State/StateReport.aspx#?s=47</t>
        </is>
      </c>
      <c r="C23" t="inlineStr">
        <is>
          <t>NCDF</t>
        </is>
      </c>
      <c r="D23" t="inlineStr">
        <is>
          <t>State Victim Count</t>
        </is>
      </c>
      <c r="E23" s="1" t="n"/>
      <c r="F23" s="3">
        <f>E23/E5</f>
        <v/>
      </c>
      <c r="G23">
        <f>ROUNDDOWN(F23*E6,0)</f>
        <v/>
      </c>
      <c r="H23" s="20" t="n"/>
      <c r="I23" s="19">
        <f>H23/E23</f>
        <v/>
      </c>
      <c r="J23" s="19">
        <f>I23*G23</f>
        <v/>
      </c>
      <c r="K23" s="8" t="n"/>
      <c r="L23" s="3">
        <f>K23/E5</f>
        <v/>
      </c>
      <c r="M23" s="8">
        <f>ROUNDDOWN(L23*E6,0)</f>
        <v/>
      </c>
      <c r="N23" s="21" t="n"/>
      <c r="O23" s="21">
        <f>N23/K23</f>
        <v/>
      </c>
      <c r="P23" s="19">
        <f>M23*O23</f>
        <v/>
      </c>
    </row>
    <row r="24" customFormat="1" s="2">
      <c r="B24" t="inlineStr">
        <is>
          <t>https://www.ic3.gov/Media/PDF/AnnualReport/2022State/StateReport.aspx#?s=47</t>
        </is>
      </c>
      <c r="C24" t="inlineStr">
        <is>
          <t>NTOC</t>
        </is>
      </c>
      <c r="D24" t="inlineStr">
        <is>
          <t>State Victim Count</t>
        </is>
      </c>
      <c r="E24" s="1" t="n"/>
      <c r="F24" s="3">
        <f>E24/E5</f>
        <v/>
      </c>
      <c r="G24">
        <f>ROUNDDOWN(F24*E6,0)</f>
        <v/>
      </c>
      <c r="H24" s="20" t="n"/>
      <c r="I24" s="19">
        <f>H24/E24</f>
        <v/>
      </c>
      <c r="J24" s="19">
        <f>I24*G24</f>
        <v/>
      </c>
      <c r="K24" s="8" t="n"/>
      <c r="L24" s="3">
        <f>K24/E5</f>
        <v/>
      </c>
      <c r="M24" s="8">
        <f>ROUNDDOWN(L24*E6,0)</f>
        <v/>
      </c>
      <c r="N24" s="21" t="n"/>
      <c r="O24" s="21">
        <f>N24/K24</f>
        <v/>
      </c>
      <c r="P24" s="19">
        <f>M24*O24</f>
        <v/>
      </c>
    </row>
    <row r="25" customFormat="1" s="2">
      <c r="B25" t="inlineStr">
        <is>
          <t>https://www.ic3.gov/Media/PDF/AnnualReport/2022State/StateReport.aspx#?s=47</t>
        </is>
      </c>
      <c r="C25" t="inlineStr">
        <is>
          <t>No Lead Value</t>
        </is>
      </c>
      <c r="D25" t="inlineStr">
        <is>
          <t>State Victim Count</t>
        </is>
      </c>
      <c r="E25" s="1" t="n"/>
      <c r="F25" s="3">
        <f>E25/E5</f>
        <v/>
      </c>
      <c r="G25">
        <f>ROUNDDOWN(F25*E6,0)</f>
        <v/>
      </c>
      <c r="H25" s="20" t="n"/>
      <c r="I25" s="19">
        <f>H25/E25</f>
        <v/>
      </c>
      <c r="J25" s="19">
        <f>I25*G25</f>
        <v/>
      </c>
      <c r="K25" s="8" t="n"/>
      <c r="L25" s="3">
        <f>K25/E5</f>
        <v/>
      </c>
      <c r="M25" s="8">
        <f>ROUNDDOWN(L25*E6,0)</f>
        <v/>
      </c>
      <c r="N25" s="21" t="n"/>
      <c r="O25" s="21">
        <f>N25/K25</f>
        <v/>
      </c>
      <c r="P25" s="19">
        <f>M25*O25</f>
        <v/>
      </c>
    </row>
    <row r="26" customFormat="1" s="2">
      <c r="B26" t="inlineStr">
        <is>
          <t>https://www.ic3.gov/Media/PDF/AnnualReport/2022State/StateReport.aspx#?s=47</t>
        </is>
      </c>
      <c r="C26" t="inlineStr">
        <is>
          <t>Non-Payable/Non-Delivery</t>
        </is>
      </c>
      <c r="D26" t="inlineStr">
        <is>
          <t>State Victim Count</t>
        </is>
      </c>
      <c r="E26" s="1" t="n"/>
      <c r="F26" s="3">
        <f>E26/E5</f>
        <v/>
      </c>
      <c r="G26">
        <f>ROUNDDOWN(F26*E6,0)</f>
        <v/>
      </c>
      <c r="H26" s="20" t="n"/>
      <c r="I26" s="19">
        <f>H26/E26</f>
        <v/>
      </c>
      <c r="J26" s="19">
        <f>I26*G26</f>
        <v/>
      </c>
      <c r="K26" s="8" t="n"/>
      <c r="L26" s="3">
        <f>K26/E5</f>
        <v/>
      </c>
      <c r="M26" s="8">
        <f>ROUNDDOWN(L26*E6,0)</f>
        <v/>
      </c>
      <c r="N26" s="20" t="n"/>
      <c r="O26" s="21">
        <f>N26/K26</f>
        <v/>
      </c>
      <c r="P26" s="19">
        <f>M26*O26</f>
        <v/>
      </c>
    </row>
    <row r="27" customFormat="1" s="2">
      <c r="B27" t="inlineStr">
        <is>
          <t>https://www.ic3.gov/Media/PDF/AnnualReport/2022State/StateReport.aspx#?s=47</t>
        </is>
      </c>
      <c r="C27" t="inlineStr">
        <is>
          <t>Other</t>
        </is>
      </c>
      <c r="D27" t="inlineStr">
        <is>
          <t>State Victim Count</t>
        </is>
      </c>
      <c r="E27" s="1" t="n"/>
      <c r="F27" s="3">
        <f>E27/E5</f>
        <v/>
      </c>
      <c r="G27">
        <f>ROUNDDOWN(F27*E6,0)</f>
        <v/>
      </c>
      <c r="H27" s="20" t="n"/>
      <c r="I27" s="19">
        <f>H27/E27</f>
        <v/>
      </c>
      <c r="J27" s="19">
        <f>I27*G27</f>
        <v/>
      </c>
      <c r="K27" s="8" t="n"/>
      <c r="L27" s="3">
        <f>K27/E5</f>
        <v/>
      </c>
      <c r="M27" s="8">
        <f>ROUNDDOWN(L27*E6,0)</f>
        <v/>
      </c>
      <c r="N27" s="20" t="n"/>
      <c r="O27" s="21">
        <f>N27/K27</f>
        <v/>
      </c>
      <c r="P27" s="19">
        <f>M27*O27</f>
        <v/>
      </c>
    </row>
    <row r="28" customFormat="1" s="2">
      <c r="B28" t="inlineStr">
        <is>
          <t>https://www.ic3.gov/Media/PDF/AnnualReport/2022State/StateReport.aspx#?s=47</t>
        </is>
      </c>
      <c r="C28" t="inlineStr">
        <is>
          <t>Overpayment</t>
        </is>
      </c>
      <c r="D28" t="inlineStr">
        <is>
          <t>State Victim Count</t>
        </is>
      </c>
      <c r="E28" s="1" t="n"/>
      <c r="F28" s="3">
        <f>E28/E5</f>
        <v/>
      </c>
      <c r="G28">
        <f>ROUNDDOWN(F28*E6,0)</f>
        <v/>
      </c>
      <c r="H28" s="20" t="n"/>
      <c r="I28" s="19">
        <f>H28/E28</f>
        <v/>
      </c>
      <c r="J28" s="19">
        <f>I28*G28</f>
        <v/>
      </c>
      <c r="K28" s="8" t="n"/>
      <c r="L28" s="3">
        <f>K28/E5</f>
        <v/>
      </c>
      <c r="M28" s="8">
        <f>ROUNDDOWN(L28*E6,0)</f>
        <v/>
      </c>
      <c r="N28" s="20" t="n"/>
      <c r="O28" s="21">
        <f>N28/K28</f>
        <v/>
      </c>
      <c r="P28" s="19">
        <f>M28*O28</f>
        <v/>
      </c>
    </row>
    <row r="29" customFormat="1" s="2">
      <c r="B29" t="inlineStr">
        <is>
          <t>https://www.ic3.gov/Media/PDF/AnnualReport/2022State/StateReport.aspx#?s=47</t>
        </is>
      </c>
      <c r="C29" t="inlineStr">
        <is>
          <t>Personal Data Breach</t>
        </is>
      </c>
      <c r="D29" t="inlineStr">
        <is>
          <t>State Victim Count</t>
        </is>
      </c>
      <c r="E29" s="1" t="n"/>
      <c r="F29" s="3">
        <f>E29/E5</f>
        <v/>
      </c>
      <c r="G29">
        <f>ROUNDDOWN(F29*E6,0)</f>
        <v/>
      </c>
      <c r="H29" s="20" t="n"/>
      <c r="I29" s="19">
        <f>H29/E29</f>
        <v/>
      </c>
      <c r="J29" s="19">
        <f>I29*G29</f>
        <v/>
      </c>
      <c r="K29" s="8" t="n"/>
      <c r="L29" s="3">
        <f>K29/E5</f>
        <v/>
      </c>
      <c r="M29" s="8">
        <f>ROUNDDOWN(L29*E6,0)</f>
        <v/>
      </c>
      <c r="N29" s="20" t="n"/>
      <c r="O29" s="21">
        <f>N29/K29</f>
        <v/>
      </c>
      <c r="P29" s="19">
        <f>M29*O29</f>
        <v/>
      </c>
    </row>
    <row r="30" customFormat="1" s="2">
      <c r="B30" t="inlineStr">
        <is>
          <t>https://www.ic3.gov/Media/PDF/AnnualReport/2022State/StateReport.aspx#?s=47</t>
        </is>
      </c>
      <c r="C30" t="inlineStr">
        <is>
          <t>Phishing</t>
        </is>
      </c>
      <c r="D30" t="inlineStr">
        <is>
          <t>State Victim Count</t>
        </is>
      </c>
      <c r="E30" s="1" t="n"/>
      <c r="F30" s="3">
        <f>E30/E5</f>
        <v/>
      </c>
      <c r="G30">
        <f>ROUNDDOWN(F30*E6,0)</f>
        <v/>
      </c>
      <c r="H30" s="20" t="n"/>
      <c r="I30" s="19">
        <f>H30/E30</f>
        <v/>
      </c>
      <c r="J30" s="19">
        <f>I30*G30</f>
        <v/>
      </c>
      <c r="K30" s="8" t="n"/>
      <c r="L30" s="3">
        <f>K30/E5</f>
        <v/>
      </c>
      <c r="M30" s="8">
        <f>ROUNDDOWN(L30*E6,0)</f>
        <v/>
      </c>
      <c r="N30" s="20" t="n"/>
      <c r="O30" s="21">
        <f>N30/K30</f>
        <v/>
      </c>
      <c r="P30" s="19">
        <f>M30*O30</f>
        <v/>
      </c>
    </row>
    <row r="31" customFormat="1" s="2">
      <c r="B31" t="inlineStr">
        <is>
          <t>https://www.ic3.gov/Media/PDF/AnnualReport/2022State/StateReport.aspx#?s=47</t>
        </is>
      </c>
      <c r="C31" t="inlineStr">
        <is>
          <t>Ransomware</t>
        </is>
      </c>
      <c r="D31" t="inlineStr">
        <is>
          <t>State Victim Count</t>
        </is>
      </c>
      <c r="E31" s="1" t="n"/>
      <c r="F31" s="3">
        <f>E31/E5</f>
        <v/>
      </c>
      <c r="G31">
        <f>ROUNDDOWN(F31*E6,0)</f>
        <v/>
      </c>
      <c r="H31" s="20" t="n"/>
      <c r="I31" s="19">
        <f>H31/E31</f>
        <v/>
      </c>
      <c r="J31" s="19">
        <f>I31*G31</f>
        <v/>
      </c>
      <c r="K31" s="8" t="n"/>
      <c r="L31" s="3">
        <f>K31/E5</f>
        <v/>
      </c>
      <c r="M31" s="8">
        <f>ROUNDDOWN(L31*E6,0)</f>
        <v/>
      </c>
      <c r="N31" s="21" t="n"/>
      <c r="O31" s="21">
        <f>N31/K31</f>
        <v/>
      </c>
      <c r="P31" s="19">
        <f>M31*O31</f>
        <v/>
      </c>
    </row>
    <row r="32" customFormat="1" s="2">
      <c r="B32" t="inlineStr">
        <is>
          <t>https://www.ic3.gov/Media/PDF/AnnualReport/2022State/StateReport.aspx#?s=47</t>
        </is>
      </c>
      <c r="C32" t="inlineStr">
        <is>
          <t>Real Estate</t>
        </is>
      </c>
      <c r="D32" t="inlineStr">
        <is>
          <t>State Victim Count</t>
        </is>
      </c>
      <c r="E32" s="1" t="n"/>
      <c r="F32" s="3">
        <f>E32/E5</f>
        <v/>
      </c>
      <c r="G32">
        <f>ROUNDDOWN(F32*E6,0)</f>
        <v/>
      </c>
      <c r="H32" s="20" t="n"/>
      <c r="I32" s="19">
        <f>H32/E32</f>
        <v/>
      </c>
      <c r="J32" s="19">
        <f>I32*G32</f>
        <v/>
      </c>
      <c r="K32" s="8" t="n"/>
      <c r="L32" s="3">
        <f>K32/E5</f>
        <v/>
      </c>
      <c r="M32" s="8">
        <f>ROUNDDOWN(L32*E6,0)</f>
        <v/>
      </c>
      <c r="N32" s="20" t="n"/>
      <c r="O32" s="21">
        <f>N32/K32</f>
        <v/>
      </c>
      <c r="P32" s="19">
        <f>M32*O32</f>
        <v/>
      </c>
    </row>
    <row r="33" customFormat="1" s="2">
      <c r="B33" t="inlineStr">
        <is>
          <t>https://www.ic3.gov/Media/PDF/AnnualReport/2022State/StateReport.aspx#?s=47</t>
        </is>
      </c>
      <c r="C33" t="inlineStr">
        <is>
          <t>SIM Swap</t>
        </is>
      </c>
      <c r="D33" t="inlineStr">
        <is>
          <t>State Victim Count</t>
        </is>
      </c>
      <c r="E33" s="1" t="n"/>
      <c r="F33" s="3">
        <f>E33/E5</f>
        <v/>
      </c>
      <c r="G33">
        <f>ROUNDDOWN(F33*E6,0)</f>
        <v/>
      </c>
      <c r="H33" s="20" t="n"/>
      <c r="I33" s="19">
        <f>H33/E33</f>
        <v/>
      </c>
      <c r="J33" s="19">
        <f>I33*G33</f>
        <v/>
      </c>
      <c r="K33" s="8" t="n"/>
      <c r="L33" s="3">
        <f>K33/E5</f>
        <v/>
      </c>
      <c r="M33" s="8">
        <f>ROUNDDOWN(L33*E6,0)</f>
        <v/>
      </c>
      <c r="N33" s="20" t="n"/>
      <c r="O33" s="21">
        <f>N33/K33</f>
        <v/>
      </c>
      <c r="P33" s="19">
        <f>M33*O33</f>
        <v/>
      </c>
    </row>
    <row r="34" customFormat="1" s="2">
      <c r="B34" t="inlineStr">
        <is>
          <t>https://www.ic3.gov/Media/PDF/AnnualReport/2022State/StateReport.aspx#?s=47</t>
        </is>
      </c>
      <c r="C34" t="inlineStr">
        <is>
          <t>Spoofing</t>
        </is>
      </c>
      <c r="D34" t="inlineStr">
        <is>
          <t>State Victim Count</t>
        </is>
      </c>
      <c r="E34" s="1" t="n"/>
      <c r="F34" s="3">
        <f>E34/E5</f>
        <v/>
      </c>
      <c r="G34">
        <f>ROUNDDOWN(F34*E6,0)</f>
        <v/>
      </c>
      <c r="H34" s="20" t="n"/>
      <c r="I34" s="19">
        <f>H34/E34</f>
        <v/>
      </c>
      <c r="J34" s="19">
        <f>I34*G34</f>
        <v/>
      </c>
      <c r="K34" s="8" t="n"/>
      <c r="L34" s="3">
        <f>K34/E5</f>
        <v/>
      </c>
      <c r="M34" s="8">
        <f>ROUNDDOWN(L34*E6,0)</f>
        <v/>
      </c>
      <c r="N34" s="20" t="n"/>
      <c r="O34" s="21">
        <f>N34/K34</f>
        <v/>
      </c>
      <c r="P34" s="19">
        <f>M34*O34</f>
        <v/>
      </c>
    </row>
    <row r="35" customFormat="1" s="2">
      <c r="B35" t="inlineStr">
        <is>
          <t>https://www.ic3.gov/Media/PDF/AnnualReport/2022State/StateReport.aspx#?s=47</t>
        </is>
      </c>
      <c r="C35" t="inlineStr">
        <is>
          <t>Tech Support</t>
        </is>
      </c>
      <c r="D35" t="inlineStr">
        <is>
          <t>State Victim Count</t>
        </is>
      </c>
      <c r="E35" s="1" t="n"/>
      <c r="F35" s="3">
        <f>E35/E5</f>
        <v/>
      </c>
      <c r="G35">
        <f>ROUNDDOWN(F35*E6,0)</f>
        <v/>
      </c>
      <c r="H35" s="20" t="n"/>
      <c r="I35" s="19">
        <f>H35/E35</f>
        <v/>
      </c>
      <c r="J35" s="19">
        <f>I35*G35</f>
        <v/>
      </c>
      <c r="K35" s="8" t="n"/>
      <c r="L35" s="3">
        <f>K35/E5</f>
        <v/>
      </c>
      <c r="M35" s="8">
        <f>ROUNDDOWN(L35*E6,0)</f>
        <v/>
      </c>
      <c r="N35" s="20" t="n"/>
      <c r="O35" s="21">
        <f>N35/K35</f>
        <v/>
      </c>
      <c r="P35" s="19">
        <f>M35*O35</f>
        <v/>
      </c>
    </row>
    <row r="36" customFormat="1" s="2">
      <c r="B36" t="inlineStr">
        <is>
          <t>https://www.ic3.gov/Media/PDF/AnnualReport/2022State/StateReport.aspx#?s=47</t>
        </is>
      </c>
      <c r="C36" t="inlineStr">
        <is>
          <t>Threats of Violence</t>
        </is>
      </c>
      <c r="D36" t="inlineStr">
        <is>
          <t>State Victim Count</t>
        </is>
      </c>
      <c r="E36" s="1" t="n"/>
      <c r="F36" s="3">
        <f>E36/E5</f>
        <v/>
      </c>
      <c r="G36">
        <f>ROUNDDOWN(F36*E6,0)</f>
        <v/>
      </c>
      <c r="H36" s="20" t="n"/>
      <c r="I36" s="19">
        <f>H36/E36</f>
        <v/>
      </c>
      <c r="J36" s="19">
        <f>I36*G36</f>
        <v/>
      </c>
      <c r="K36" s="8" t="n"/>
      <c r="L36" s="3">
        <f>K36/E5</f>
        <v/>
      </c>
      <c r="M36" s="8">
        <f>ROUNDDOWN(L36*E6,0)</f>
        <v/>
      </c>
      <c r="N36" s="21" t="n"/>
      <c r="O36" s="21">
        <f>N36/K36</f>
        <v/>
      </c>
      <c r="P36" s="19">
        <f>M36*O36</f>
        <v/>
      </c>
    </row>
    <row r="37">
      <c r="J37" s="19">
        <f>I37*G37</f>
        <v/>
      </c>
      <c r="L37" s="3" t="n"/>
      <c r="M37" s="3" t="n"/>
      <c r="N37" s="21" t="n"/>
      <c r="O37" s="21" t="n"/>
    </row>
    <row r="38">
      <c r="E38" s="1">
        <f>SUM(E7:E36)</f>
        <v/>
      </c>
      <c r="G38">
        <f>SUM(G8:G36)</f>
        <v/>
      </c>
      <c r="I38" s="19">
        <f>H38/E38</f>
        <v/>
      </c>
      <c r="J38" s="19">
        <f>I38*G38</f>
        <v/>
      </c>
      <c r="L38" s="3" t="n"/>
      <c r="M38" s="3" t="n"/>
      <c r="N38" s="21" t="n"/>
      <c r="O38" s="21" t="n"/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1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4" customWidth="1" min="4" max="4"/>
    <col width="3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25" t="inlineStr">
        <is>
          <t>Tennessee Crime Categories Box-and-Whisker (2016-2022)</t>
        </is>
      </c>
    </row>
    <row r="3">
      <c r="A3" s="26" t="inlineStr">
        <is>
          <t>Advanced Fee</t>
        </is>
      </c>
    </row>
    <row r="4">
      <c r="A4" s="26" t="inlineStr">
        <is>
          <t>Year</t>
        </is>
      </c>
      <c r="B4" s="26" t="inlineStr">
        <is>
          <t>Value</t>
        </is>
      </c>
    </row>
    <row r="5">
      <c r="A5" t="n">
        <v>2016</v>
      </c>
      <c r="B5" t="n">
        <v>7</v>
      </c>
    </row>
    <row r="6">
      <c r="A6" t="n">
        <v>2017</v>
      </c>
      <c r="B6" t="n">
        <v>7</v>
      </c>
    </row>
    <row r="7">
      <c r="A7" t="n">
        <v>2018</v>
      </c>
      <c r="B7" t="n">
        <v>7</v>
      </c>
    </row>
    <row r="8">
      <c r="A8" t="n">
        <v>2019</v>
      </c>
      <c r="B8" t="n">
        <v>5</v>
      </c>
    </row>
    <row r="9">
      <c r="A9" t="n">
        <v>2020</v>
      </c>
      <c r="B9" t="n">
        <v>5</v>
      </c>
    </row>
    <row r="10">
      <c r="A10" t="n">
        <v>2021</v>
      </c>
      <c r="B10" t="n">
        <v>4</v>
      </c>
    </row>
    <row r="11">
      <c r="A11" t="n">
        <v>2022</v>
      </c>
      <c r="B11" t="n">
        <v>5.325732318358257</v>
      </c>
    </row>
    <row r="13">
      <c r="A13" s="26" t="inlineStr">
        <is>
          <t>Min/Median/Max</t>
        </is>
      </c>
      <c r="B13" t="inlineStr">
        <is>
          <t>4.000 / 5.326 / 7.000</t>
        </is>
      </c>
    </row>
    <row r="17">
      <c r="E17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18"/>
    <row r="19"/>
    <row r="20"/>
    <row r="21"/>
    <row r="22"/>
    <row r="27">
      <c r="A27" s="26" t="inlineStr">
        <is>
          <t>Botnet</t>
        </is>
      </c>
    </row>
    <row r="28">
      <c r="A28" s="26" t="inlineStr">
        <is>
          <t>Year</t>
        </is>
      </c>
      <c r="B28" s="26" t="inlineStr">
        <is>
          <t>Value</t>
        </is>
      </c>
    </row>
    <row r="29">
      <c r="A29" t="n">
        <v>2016</v>
      </c>
      <c r="B29" t="n">
        <v>0</v>
      </c>
    </row>
    <row r="30">
      <c r="A30" t="n">
        <v>2017</v>
      </c>
      <c r="B30" t="n">
        <v>0</v>
      </c>
    </row>
    <row r="31">
      <c r="A31" t="n">
        <v>2018</v>
      </c>
      <c r="B31" t="n">
        <v>0</v>
      </c>
    </row>
    <row r="32">
      <c r="A32" t="n">
        <v>2019</v>
      </c>
      <c r="B32" t="n">
        <v>0</v>
      </c>
    </row>
    <row r="33">
      <c r="A33" t="n">
        <v>2020</v>
      </c>
      <c r="B33" t="n">
        <v>0</v>
      </c>
    </row>
    <row r="34">
      <c r="A34" t="n">
        <v>2021</v>
      </c>
      <c r="B34" t="n">
        <v>0</v>
      </c>
    </row>
    <row r="35">
      <c r="A35" t="n">
        <v>2022</v>
      </c>
      <c r="B35" t="n">
        <v>0.2349587787510996</v>
      </c>
    </row>
    <row r="37">
      <c r="A37" s="26" t="inlineStr">
        <is>
          <t>Min/Median/Max</t>
        </is>
      </c>
      <c r="B37" t="inlineStr">
        <is>
          <t>0.000 / 0.000 / 0.235</t>
        </is>
      </c>
    </row>
    <row r="41">
      <c r="E41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42"/>
    <row r="43"/>
    <row r="44"/>
    <row r="45"/>
    <row r="46"/>
    <row r="51">
      <c r="A51" s="26" t="inlineStr">
        <is>
          <t>Business Email Compromise</t>
        </is>
      </c>
    </row>
    <row r="52">
      <c r="A52" s="26" t="inlineStr">
        <is>
          <t>Year</t>
        </is>
      </c>
      <c r="B52" s="26" t="inlineStr">
        <is>
          <t>Value</t>
        </is>
      </c>
    </row>
    <row r="53">
      <c r="A53" t="n">
        <v>2016</v>
      </c>
      <c r="B53" t="n">
        <v>4</v>
      </c>
    </row>
    <row r="54">
      <c r="A54" t="n">
        <v>2017</v>
      </c>
      <c r="B54" t="n">
        <v>4</v>
      </c>
    </row>
    <row r="55">
      <c r="A55" t="n">
        <v>2018</v>
      </c>
      <c r="B55" t="n">
        <v>7</v>
      </c>
    </row>
    <row r="56">
      <c r="A56" t="n">
        <v>2019</v>
      </c>
      <c r="B56" t="n">
        <v>8</v>
      </c>
    </row>
    <row r="57">
      <c r="A57" t="n">
        <v>2020</v>
      </c>
      <c r="B57" t="n">
        <v>6</v>
      </c>
    </row>
    <row r="58">
      <c r="A58" t="n">
        <v>2021</v>
      </c>
      <c r="B58" t="n">
        <v>8</v>
      </c>
    </row>
    <row r="59">
      <c r="A59" t="n">
        <v>2022</v>
      </c>
      <c r="B59" t="n">
        <v>10.86031688449527</v>
      </c>
    </row>
    <row r="61">
      <c r="A61" s="26" t="inlineStr">
        <is>
          <t>Min/Median/Max</t>
        </is>
      </c>
      <c r="B61" t="inlineStr">
        <is>
          <t>4.000 / 7.000 / 10.860</t>
        </is>
      </c>
    </row>
    <row r="65">
      <c r="E65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66"/>
    <row r="67"/>
    <row r="68"/>
    <row r="69"/>
    <row r="70"/>
    <row r="75">
      <c r="A75" s="26" t="inlineStr">
        <is>
          <t>Check Fraud</t>
        </is>
      </c>
    </row>
    <row r="76">
      <c r="A76" s="26" t="inlineStr">
        <is>
          <t>Year</t>
        </is>
      </c>
      <c r="B76" s="26" t="inlineStr">
        <is>
          <t>Value</t>
        </is>
      </c>
    </row>
    <row r="77">
      <c r="A77" t="n">
        <v>2016</v>
      </c>
      <c r="B77" t="n">
        <v>0</v>
      </c>
    </row>
    <row r="78">
      <c r="A78" t="n">
        <v>2017</v>
      </c>
      <c r="B78" t="n">
        <v>0</v>
      </c>
    </row>
    <row r="79">
      <c r="A79" t="n">
        <v>2018</v>
      </c>
      <c r="B79" t="n">
        <v>0</v>
      </c>
    </row>
    <row r="80">
      <c r="A80" t="n">
        <v>2019</v>
      </c>
      <c r="B80" t="n">
        <v>0</v>
      </c>
    </row>
    <row r="81">
      <c r="A81" t="n">
        <v>2020</v>
      </c>
      <c r="B81" t="n">
        <v>0</v>
      </c>
    </row>
    <row r="82">
      <c r="A82" t="n">
        <v>2021</v>
      </c>
      <c r="B82" t="n">
        <v>0</v>
      </c>
    </row>
    <row r="83">
      <c r="A83" t="n">
        <v>2022</v>
      </c>
      <c r="B83" t="n">
        <v>12.29617608797421</v>
      </c>
    </row>
    <row r="85">
      <c r="A85" s="26" t="inlineStr">
        <is>
          <t>Min/Median/Max</t>
        </is>
      </c>
      <c r="B85" t="inlineStr">
        <is>
          <t>0.000 / 0.000 / 12.296</t>
        </is>
      </c>
    </row>
    <row r="89">
      <c r="E89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90"/>
    <row r="91"/>
    <row r="92"/>
    <row r="93"/>
    <row r="94"/>
    <row r="99">
      <c r="A99" s="26" t="inlineStr">
        <is>
          <t>Confidence/Romance</t>
        </is>
      </c>
    </row>
    <row r="100">
      <c r="A100" s="26" t="inlineStr">
        <is>
          <t>Year</t>
        </is>
      </c>
      <c r="B100" s="26" t="inlineStr">
        <is>
          <t>Value</t>
        </is>
      </c>
    </row>
    <row r="101">
      <c r="A101" t="n">
        <v>2016</v>
      </c>
      <c r="B101" t="n">
        <v>5</v>
      </c>
    </row>
    <row r="102">
      <c r="A102" t="n">
        <v>2017</v>
      </c>
      <c r="B102" t="n">
        <v>6</v>
      </c>
    </row>
    <row r="103">
      <c r="A103" t="n">
        <v>2018</v>
      </c>
      <c r="B103" t="n">
        <v>7</v>
      </c>
    </row>
    <row r="104">
      <c r="A104" t="n">
        <v>2019</v>
      </c>
      <c r="B104" t="n">
        <v>7</v>
      </c>
    </row>
    <row r="105">
      <c r="A105" t="n">
        <v>2020</v>
      </c>
      <c r="B105" t="n">
        <v>8</v>
      </c>
    </row>
    <row r="106">
      <c r="A106" t="n">
        <v>2021</v>
      </c>
      <c r="B106" t="n">
        <v>9</v>
      </c>
    </row>
    <row r="107">
      <c r="A107" t="n">
        <v>2022</v>
      </c>
      <c r="B107" t="n">
        <v>8.641261751845997</v>
      </c>
    </row>
    <row r="109">
      <c r="A109" s="26" t="inlineStr">
        <is>
          <t>Min/Median/Max</t>
        </is>
      </c>
      <c r="B109" t="inlineStr">
        <is>
          <t>5.000 / 7.000 / 9.000</t>
        </is>
      </c>
    </row>
    <row r="113">
      <c r="E113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114"/>
    <row r="115"/>
    <row r="116"/>
    <row r="117"/>
    <row r="118"/>
    <row r="123">
      <c r="A123" s="26" t="inlineStr">
        <is>
          <t>Crimes Against Children</t>
        </is>
      </c>
    </row>
    <row r="124">
      <c r="A124" s="26" t="inlineStr">
        <is>
          <t>Year</t>
        </is>
      </c>
      <c r="B124" s="26" t="inlineStr">
        <is>
          <t>Value</t>
        </is>
      </c>
    </row>
    <row r="125">
      <c r="A125" t="n">
        <v>2016</v>
      </c>
      <c r="B125" t="n">
        <v>0</v>
      </c>
    </row>
    <row r="126">
      <c r="A126" t="n">
        <v>2017</v>
      </c>
      <c r="B126" t="n">
        <v>0</v>
      </c>
    </row>
    <row r="127">
      <c r="A127" t="n">
        <v>2018</v>
      </c>
      <c r="B127" t="n">
        <v>0</v>
      </c>
    </row>
    <row r="128">
      <c r="A128" t="n">
        <v>2019</v>
      </c>
      <c r="B128" t="n">
        <v>0</v>
      </c>
    </row>
    <row r="129">
      <c r="A129" t="n">
        <v>2020</v>
      </c>
      <c r="B129" t="n">
        <v>1</v>
      </c>
    </row>
    <row r="130">
      <c r="A130" t="n">
        <v>2021</v>
      </c>
      <c r="B130" t="n">
        <v>0</v>
      </c>
    </row>
    <row r="131">
      <c r="A131" t="n">
        <v>2022</v>
      </c>
      <c r="B131" t="n">
        <v>1.409752672506598</v>
      </c>
    </row>
    <row r="133">
      <c r="A133" s="26" t="inlineStr">
        <is>
          <t>Min/Median/Max</t>
        </is>
      </c>
      <c r="B133" t="inlineStr">
        <is>
          <t>0.000 / 0.000 / 1.410</t>
        </is>
      </c>
    </row>
    <row r="137">
      <c r="E137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138"/>
    <row r="139"/>
    <row r="140"/>
    <row r="141"/>
    <row r="142"/>
    <row r="147">
      <c r="A147" s="26" t="inlineStr">
        <is>
          <t>Data Breach</t>
        </is>
      </c>
    </row>
    <row r="148">
      <c r="A148" s="26" t="inlineStr">
        <is>
          <t>Year</t>
        </is>
      </c>
      <c r="B148" s="26" t="inlineStr">
        <is>
          <t>Value</t>
        </is>
      </c>
    </row>
    <row r="149">
      <c r="A149" t="n">
        <v>2016</v>
      </c>
      <c r="B149" t="n">
        <v>1</v>
      </c>
    </row>
    <row r="150">
      <c r="A150" t="n">
        <v>2017</v>
      </c>
      <c r="B150" t="n">
        <v>1</v>
      </c>
    </row>
    <row r="151">
      <c r="A151" t="n">
        <v>2018</v>
      </c>
      <c r="B151" t="n">
        <v>0</v>
      </c>
    </row>
    <row r="152">
      <c r="A152" t="n">
        <v>2019</v>
      </c>
      <c r="B152" t="n">
        <v>0</v>
      </c>
    </row>
    <row r="153">
      <c r="A153" t="n">
        <v>2020</v>
      </c>
      <c r="B153" t="n">
        <v>0</v>
      </c>
    </row>
    <row r="154">
      <c r="A154" t="n">
        <v>2021</v>
      </c>
      <c r="B154" t="n">
        <v>0</v>
      </c>
    </row>
    <row r="155">
      <c r="A155" t="n">
        <v>2022</v>
      </c>
      <c r="B155" t="n">
        <v>1.148687362783154</v>
      </c>
    </row>
    <row r="157">
      <c r="A157" s="26" t="inlineStr">
        <is>
          <t>Min/Median/Max</t>
        </is>
      </c>
      <c r="B157" t="inlineStr">
        <is>
          <t>0.000 / 0.000 / 1.149</t>
        </is>
      </c>
    </row>
    <row r="161">
      <c r="E161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162"/>
    <row r="163"/>
    <row r="164"/>
    <row r="165"/>
    <row r="166"/>
    <row r="171">
      <c r="A171" s="26" t="inlineStr">
        <is>
          <t>Employment</t>
        </is>
      </c>
    </row>
    <row r="172">
      <c r="A172" s="26" t="inlineStr">
        <is>
          <t>Year</t>
        </is>
      </c>
      <c r="B172" s="26" t="inlineStr">
        <is>
          <t>Value</t>
        </is>
      </c>
    </row>
    <row r="173">
      <c r="A173" t="n">
        <v>2016</v>
      </c>
      <c r="B173" t="n">
        <v>7</v>
      </c>
    </row>
    <row r="174">
      <c r="A174" t="n">
        <v>2017</v>
      </c>
      <c r="B174" t="n">
        <v>6</v>
      </c>
    </row>
    <row r="175">
      <c r="A175" t="n">
        <v>2018</v>
      </c>
      <c r="B175" t="n">
        <v>6</v>
      </c>
    </row>
    <row r="176">
      <c r="A176" t="n">
        <v>2019</v>
      </c>
      <c r="B176" t="n">
        <v>5</v>
      </c>
    </row>
    <row r="177">
      <c r="A177" t="n">
        <v>2020</v>
      </c>
      <c r="B177" t="n">
        <v>7</v>
      </c>
    </row>
    <row r="178">
      <c r="A178" t="n">
        <v>2021</v>
      </c>
      <c r="B178" t="n">
        <v>5</v>
      </c>
    </row>
    <row r="179">
      <c r="A179" t="n">
        <v>2022</v>
      </c>
      <c r="B179" t="n">
        <v>6.657165397947822</v>
      </c>
    </row>
    <row r="181">
      <c r="A181" s="26" t="inlineStr">
        <is>
          <t>Min/Median/Max</t>
        </is>
      </c>
      <c r="B181" t="inlineStr">
        <is>
          <t>5.000 / 6.000 / 7.000</t>
        </is>
      </c>
    </row>
    <row r="185">
      <c r="E185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186"/>
    <row r="187"/>
    <row r="188"/>
    <row r="189"/>
    <row r="190"/>
    <row r="195">
      <c r="A195" s="26" t="inlineStr">
        <is>
          <t>Extortion</t>
        </is>
      </c>
    </row>
    <row r="196">
      <c r="A196" s="26" t="inlineStr">
        <is>
          <t>Year</t>
        </is>
      </c>
      <c r="B196" s="26" t="inlineStr">
        <is>
          <t>Value</t>
        </is>
      </c>
    </row>
    <row r="197">
      <c r="A197" t="n">
        <v>2016</v>
      </c>
      <c r="B197" t="n">
        <v>9</v>
      </c>
    </row>
    <row r="198">
      <c r="A198" t="n">
        <v>2017</v>
      </c>
      <c r="B198" t="n">
        <v>7</v>
      </c>
    </row>
    <row r="199">
      <c r="A199" t="n">
        <v>2018</v>
      </c>
      <c r="B199" t="n">
        <v>20</v>
      </c>
    </row>
    <row r="200">
      <c r="A200" t="n">
        <v>2019</v>
      </c>
      <c r="B200" t="n">
        <v>19</v>
      </c>
    </row>
    <row r="201">
      <c r="A201" t="n">
        <v>2020</v>
      </c>
      <c r="B201" t="n">
        <v>31</v>
      </c>
    </row>
    <row r="202">
      <c r="A202" t="n">
        <v>2021</v>
      </c>
      <c r="B202" t="n">
        <v>16</v>
      </c>
    </row>
    <row r="203">
      <c r="A203" t="n">
        <v>2022</v>
      </c>
      <c r="B203" t="n">
        <v>18.14403902577936</v>
      </c>
    </row>
    <row r="205">
      <c r="A205" s="26" t="inlineStr">
        <is>
          <t>Min/Median/Max</t>
        </is>
      </c>
      <c r="B205" t="inlineStr">
        <is>
          <t>7.000 / 18.144 / 31.000</t>
        </is>
      </c>
    </row>
    <row r="209">
      <c r="E209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210"/>
    <row r="211"/>
    <row r="212"/>
    <row r="213"/>
    <row r="214"/>
    <row r="219">
      <c r="A219" s="26" t="inlineStr">
        <is>
          <t>Government Impersonation</t>
        </is>
      </c>
    </row>
    <row r="220">
      <c r="A220" s="26" t="inlineStr">
        <is>
          <t>Year</t>
        </is>
      </c>
      <c r="B220" s="26" t="inlineStr">
        <is>
          <t>Value</t>
        </is>
      </c>
    </row>
    <row r="221">
      <c r="A221" t="n">
        <v>2016</v>
      </c>
      <c r="B221" t="n">
        <v>7</v>
      </c>
    </row>
    <row r="222">
      <c r="A222" t="n">
        <v>2017</v>
      </c>
      <c r="B222" t="n">
        <v>4</v>
      </c>
    </row>
    <row r="223">
      <c r="A223" t="n">
        <v>2018</v>
      </c>
      <c r="B223" t="n">
        <v>6</v>
      </c>
    </row>
    <row r="224">
      <c r="A224" t="n">
        <v>2019</v>
      </c>
      <c r="B224" t="n">
        <v>6</v>
      </c>
    </row>
    <row r="225">
      <c r="A225" t="n">
        <v>2020</v>
      </c>
      <c r="B225" t="n">
        <v>5</v>
      </c>
    </row>
    <row r="226">
      <c r="A226" t="n">
        <v>2021</v>
      </c>
      <c r="B226" t="n">
        <v>5</v>
      </c>
    </row>
    <row r="227">
      <c r="A227" t="n">
        <v>2022</v>
      </c>
      <c r="B227" t="n">
        <v>5.090773539607159</v>
      </c>
    </row>
    <row r="229">
      <c r="A229" s="26" t="inlineStr">
        <is>
          <t>Min/Median/Max</t>
        </is>
      </c>
      <c r="B229" t="inlineStr">
        <is>
          <t>4.000 / 5.091 / 7.000</t>
        </is>
      </c>
    </row>
    <row r="233">
      <c r="E233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234"/>
    <row r="235"/>
    <row r="236"/>
    <row r="237"/>
    <row r="238"/>
    <row r="243">
      <c r="A243" s="26" t="inlineStr">
        <is>
          <t>Harassing/Stalking</t>
        </is>
      </c>
    </row>
    <row r="244">
      <c r="A244" s="26" t="inlineStr">
        <is>
          <t>Year</t>
        </is>
      </c>
      <c r="B244" s="26" t="inlineStr">
        <is>
          <t>Value</t>
        </is>
      </c>
    </row>
    <row r="245">
      <c r="A245" t="n">
        <v>2016</v>
      </c>
      <c r="B245" t="n">
        <v>0</v>
      </c>
    </row>
    <row r="246">
      <c r="A246" t="n">
        <v>2017</v>
      </c>
      <c r="B246" t="n">
        <v>0</v>
      </c>
    </row>
    <row r="247">
      <c r="A247" t="n">
        <v>2018</v>
      </c>
      <c r="B247" t="n">
        <v>0</v>
      </c>
    </row>
    <row r="248">
      <c r="A248" t="n">
        <v>2019</v>
      </c>
      <c r="B248" t="n">
        <v>0</v>
      </c>
    </row>
    <row r="249">
      <c r="A249" t="n">
        <v>2020</v>
      </c>
      <c r="B249" t="n">
        <v>0</v>
      </c>
    </row>
    <row r="250">
      <c r="A250" t="n">
        <v>2021</v>
      </c>
      <c r="B250" t="n">
        <v>0</v>
      </c>
    </row>
    <row r="251">
      <c r="A251" t="n">
        <v>2022</v>
      </c>
      <c r="B251" t="n">
        <v>4.516429858215582</v>
      </c>
    </row>
    <row r="253">
      <c r="A253" s="26" t="inlineStr">
        <is>
          <t>Min/Median/Max</t>
        </is>
      </c>
      <c r="B253" t="inlineStr">
        <is>
          <t>0.000 / 0.000 / 4.516</t>
        </is>
      </c>
    </row>
    <row r="257">
      <c r="E257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258"/>
    <row r="259"/>
    <row r="260"/>
    <row r="261"/>
    <row r="262"/>
    <row r="267">
      <c r="A267" s="26" t="inlineStr">
        <is>
          <t>IPR/Counterfeit</t>
        </is>
      </c>
    </row>
    <row r="268">
      <c r="A268" s="26" t="inlineStr">
        <is>
          <t>Year</t>
        </is>
      </c>
      <c r="B268" s="26" t="inlineStr">
        <is>
          <t>Value</t>
        </is>
      </c>
    </row>
    <row r="269">
      <c r="A269" t="n">
        <v>2016</v>
      </c>
      <c r="B269" t="n">
        <v>1</v>
      </c>
    </row>
    <row r="270">
      <c r="A270" t="n">
        <v>2017</v>
      </c>
      <c r="B270" t="n">
        <v>1</v>
      </c>
    </row>
    <row r="271">
      <c r="A271" t="n">
        <v>2018</v>
      </c>
      <c r="B271" t="n">
        <v>0</v>
      </c>
    </row>
    <row r="272">
      <c r="A272" t="n">
        <v>2019</v>
      </c>
      <c r="B272" t="n">
        <v>1</v>
      </c>
    </row>
    <row r="273">
      <c r="A273" t="n">
        <v>2020</v>
      </c>
      <c r="B273" t="n">
        <v>1</v>
      </c>
    </row>
    <row r="274">
      <c r="A274" t="n">
        <v>2021</v>
      </c>
      <c r="B274" t="n">
        <v>1</v>
      </c>
    </row>
    <row r="275">
      <c r="A275" t="n">
        <v>2022</v>
      </c>
      <c r="B275" t="n">
        <v>0.4960240884745436</v>
      </c>
    </row>
    <row r="277">
      <c r="A277" s="26" t="inlineStr">
        <is>
          <t>Min/Median/Max</t>
        </is>
      </c>
      <c r="B277" t="inlineStr">
        <is>
          <t>0.000 / 1.000 / 1.000</t>
        </is>
      </c>
    </row>
    <row r="281">
      <c r="E281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282"/>
    <row r="283"/>
    <row r="284"/>
    <row r="285"/>
    <row r="286"/>
    <row r="291">
      <c r="A291" s="26" t="inlineStr">
        <is>
          <t>Identity Theft</t>
        </is>
      </c>
    </row>
    <row r="292">
      <c r="A292" s="26" t="inlineStr">
        <is>
          <t>Year</t>
        </is>
      </c>
      <c r="B292" s="26" t="inlineStr">
        <is>
          <t>Value</t>
        </is>
      </c>
    </row>
    <row r="293">
      <c r="A293" t="n">
        <v>2016</v>
      </c>
      <c r="B293" t="n">
        <v>7</v>
      </c>
    </row>
    <row r="294">
      <c r="A294" t="n">
        <v>2017</v>
      </c>
      <c r="B294" t="n">
        <v>8</v>
      </c>
    </row>
    <row r="295">
      <c r="A295" t="n">
        <v>2018</v>
      </c>
      <c r="B295" t="n">
        <v>10</v>
      </c>
    </row>
    <row r="296">
      <c r="A296" t="n">
        <v>2019</v>
      </c>
      <c r="B296" t="n">
        <v>7</v>
      </c>
    </row>
    <row r="297">
      <c r="A297" t="n">
        <v>2020</v>
      </c>
      <c r="B297" t="n">
        <v>10</v>
      </c>
    </row>
    <row r="298">
      <c r="A298" t="n">
        <v>2021</v>
      </c>
      <c r="B298" t="n">
        <v>13</v>
      </c>
    </row>
    <row r="299">
      <c r="A299" t="n">
        <v>2022</v>
      </c>
      <c r="B299" t="n">
        <v>14.07142019409363</v>
      </c>
    </row>
    <row r="301">
      <c r="A301" s="26" t="inlineStr">
        <is>
          <t>Min/Median/Max</t>
        </is>
      </c>
      <c r="B301" t="inlineStr">
        <is>
          <t>7.000 / 10.000 / 14.071</t>
        </is>
      </c>
    </row>
    <row r="305">
      <c r="E305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306"/>
    <row r="307"/>
    <row r="308"/>
    <row r="309"/>
    <row r="310"/>
    <row r="315">
      <c r="A315" s="26" t="inlineStr">
        <is>
          <t>Investment</t>
        </is>
      </c>
    </row>
    <row r="316">
      <c r="A316" s="26" t="inlineStr">
        <is>
          <t>Year</t>
        </is>
      </c>
      <c r="B316" s="26" t="inlineStr">
        <is>
          <t>Value</t>
        </is>
      </c>
    </row>
    <row r="317">
      <c r="A317" t="n">
        <v>2016</v>
      </c>
      <c r="B317" t="n">
        <v>0</v>
      </c>
    </row>
    <row r="318">
      <c r="A318" t="n">
        <v>2017</v>
      </c>
      <c r="B318" t="n">
        <v>0</v>
      </c>
    </row>
    <row r="319">
      <c r="A319" t="n">
        <v>2018</v>
      </c>
      <c r="B319" t="n">
        <v>0</v>
      </c>
    </row>
    <row r="320">
      <c r="A320" t="n">
        <v>2019</v>
      </c>
      <c r="B320" t="n">
        <v>0</v>
      </c>
    </row>
    <row r="321">
      <c r="A321" t="n">
        <v>2020</v>
      </c>
      <c r="B321" t="n">
        <v>1</v>
      </c>
    </row>
    <row r="322">
      <c r="A322" t="n">
        <v>2021</v>
      </c>
      <c r="B322" t="n">
        <v>4</v>
      </c>
    </row>
    <row r="323">
      <c r="A323" t="n">
        <v>2022</v>
      </c>
      <c r="B323" t="n">
        <v>6.813804583781889</v>
      </c>
    </row>
    <row r="325">
      <c r="A325" s="26" t="inlineStr">
        <is>
          <t>Min/Median/Max</t>
        </is>
      </c>
      <c r="B325" t="inlineStr">
        <is>
          <t>0.000 / 0.000 / 6.814</t>
        </is>
      </c>
    </row>
    <row r="329">
      <c r="E329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330"/>
    <row r="331"/>
    <row r="332"/>
    <row r="333"/>
    <row r="334"/>
    <row r="339">
      <c r="A339" s="26" t="inlineStr">
        <is>
          <t>Lottery/Sweepstakes/Inheritance</t>
        </is>
      </c>
    </row>
    <row r="340">
      <c r="A340" s="26" t="inlineStr">
        <is>
          <t>Year</t>
        </is>
      </c>
      <c r="B340" s="26" t="inlineStr">
        <is>
          <t>Value</t>
        </is>
      </c>
    </row>
    <row r="341">
      <c r="A341" t="n">
        <v>2016</v>
      </c>
      <c r="B341" t="n">
        <v>2</v>
      </c>
    </row>
    <row r="342">
      <c r="A342" t="n">
        <v>2017</v>
      </c>
      <c r="B342" t="n">
        <v>2</v>
      </c>
    </row>
    <row r="343">
      <c r="A343" t="n">
        <v>2018</v>
      </c>
      <c r="B343" t="n">
        <v>3</v>
      </c>
    </row>
    <row r="344">
      <c r="A344" t="n">
        <v>2019</v>
      </c>
      <c r="B344" t="n">
        <v>3</v>
      </c>
    </row>
    <row r="345">
      <c r="A345" t="n">
        <v>2020</v>
      </c>
      <c r="B345" t="n">
        <v>3</v>
      </c>
    </row>
    <row r="346">
      <c r="A346" t="n">
        <v>2021</v>
      </c>
      <c r="B346" t="n">
        <v>2</v>
      </c>
    </row>
    <row r="347">
      <c r="A347" t="n">
        <v>2022</v>
      </c>
      <c r="B347" t="n">
        <v>3.576594743211183</v>
      </c>
    </row>
    <row r="349">
      <c r="A349" s="26" t="inlineStr">
        <is>
          <t>Min/Median/Max</t>
        </is>
      </c>
      <c r="B349" t="inlineStr">
        <is>
          <t>2.000 / 3.000 / 3.577</t>
        </is>
      </c>
    </row>
    <row r="353">
      <c r="E353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354"/>
    <row r="355"/>
    <row r="356"/>
    <row r="357"/>
    <row r="358"/>
    <row r="363">
      <c r="A363" s="26" t="inlineStr">
        <is>
          <t>Malware</t>
        </is>
      </c>
    </row>
    <row r="364">
      <c r="A364" s="26" t="inlineStr">
        <is>
          <t>Year</t>
        </is>
      </c>
      <c r="B364" s="26" t="inlineStr">
        <is>
          <t>Value</t>
        </is>
      </c>
    </row>
    <row r="365">
      <c r="A365" t="n">
        <v>2016</v>
      </c>
      <c r="B365" t="n">
        <v>1</v>
      </c>
    </row>
    <row r="366">
      <c r="A366" t="n">
        <v>2017</v>
      </c>
      <c r="B366" t="n">
        <v>1</v>
      </c>
    </row>
    <row r="367">
      <c r="A367" t="n">
        <v>2018</v>
      </c>
      <c r="B367" t="n">
        <v>0</v>
      </c>
    </row>
    <row r="368">
      <c r="A368" t="n">
        <v>2019</v>
      </c>
      <c r="B368" t="n">
        <v>1</v>
      </c>
    </row>
    <row r="369">
      <c r="A369" t="n">
        <v>2020</v>
      </c>
      <c r="B369" t="n">
        <v>0</v>
      </c>
    </row>
    <row r="370">
      <c r="A370" t="n">
        <v>2021</v>
      </c>
      <c r="B370" t="n">
        <v>0</v>
      </c>
    </row>
    <row r="371">
      <c r="A371" t="n">
        <v>2022</v>
      </c>
      <c r="B371" t="n">
        <v>0.2349587787510996</v>
      </c>
    </row>
    <row r="373">
      <c r="A373" s="26" t="inlineStr">
        <is>
          <t>Min/Median/Max</t>
        </is>
      </c>
      <c r="B373" t="inlineStr">
        <is>
          <t>0.000 / 0.235 / 1.000</t>
        </is>
      </c>
    </row>
    <row r="377">
      <c r="E377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378"/>
    <row r="379"/>
    <row r="380"/>
    <row r="381"/>
    <row r="382"/>
    <row r="387">
      <c r="A387" s="26" t="inlineStr">
        <is>
          <t>NCDF</t>
        </is>
      </c>
    </row>
    <row r="388">
      <c r="A388" s="26" t="inlineStr">
        <is>
          <t>Year</t>
        </is>
      </c>
      <c r="B388" s="26" t="inlineStr">
        <is>
          <t>Value</t>
        </is>
      </c>
    </row>
    <row r="389">
      <c r="A389" t="n">
        <v>2016</v>
      </c>
      <c r="B389" t="n">
        <v>0</v>
      </c>
    </row>
    <row r="390">
      <c r="A390" t="n">
        <v>2017</v>
      </c>
      <c r="B390" t="n">
        <v>0</v>
      </c>
    </row>
    <row r="391">
      <c r="A391" t="n">
        <v>2018</v>
      </c>
      <c r="B391" t="n">
        <v>0</v>
      </c>
    </row>
    <row r="392">
      <c r="A392" t="n">
        <v>2019</v>
      </c>
      <c r="B392" t="n">
        <v>0</v>
      </c>
    </row>
    <row r="393">
      <c r="A393" t="n">
        <v>2020</v>
      </c>
      <c r="B393" t="n">
        <v>0</v>
      </c>
    </row>
    <row r="394">
      <c r="A394" t="n">
        <v>2021</v>
      </c>
      <c r="B394" t="n">
        <v>0</v>
      </c>
    </row>
    <row r="395">
      <c r="A395" t="n">
        <v>2022</v>
      </c>
      <c r="B395" t="n">
        <v>0</v>
      </c>
    </row>
    <row r="397">
      <c r="A397" s="26" t="inlineStr">
        <is>
          <t>Min/Median/Max</t>
        </is>
      </c>
      <c r="B397" t="inlineStr">
        <is>
          <t>0.000 / 0.000 / 0.000</t>
        </is>
      </c>
    </row>
    <row r="401">
      <c r="E401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402"/>
    <row r="403"/>
    <row r="404"/>
    <row r="405"/>
    <row r="406"/>
    <row r="411">
      <c r="A411" s="26" t="inlineStr">
        <is>
          <t>NTOC</t>
        </is>
      </c>
    </row>
    <row r="412">
      <c r="A412" s="26" t="inlineStr">
        <is>
          <t>Year</t>
        </is>
      </c>
      <c r="B412" s="26" t="inlineStr">
        <is>
          <t>Value</t>
        </is>
      </c>
    </row>
    <row r="413">
      <c r="A413" t="n">
        <v>2016</v>
      </c>
      <c r="B413" t="n">
        <v>0</v>
      </c>
    </row>
    <row r="414">
      <c r="A414" t="n">
        <v>2017</v>
      </c>
      <c r="B414" t="n">
        <v>0</v>
      </c>
    </row>
    <row r="415">
      <c r="A415" t="n">
        <v>2018</v>
      </c>
      <c r="B415" t="n">
        <v>0</v>
      </c>
    </row>
    <row r="416">
      <c r="A416" t="n">
        <v>2019</v>
      </c>
      <c r="B416" t="n">
        <v>0</v>
      </c>
    </row>
    <row r="417">
      <c r="A417" t="n">
        <v>2020</v>
      </c>
      <c r="B417" t="n">
        <v>0</v>
      </c>
    </row>
    <row r="418">
      <c r="A418" t="n">
        <v>2021</v>
      </c>
      <c r="B418" t="n">
        <v>0</v>
      </c>
    </row>
    <row r="419">
      <c r="A419" t="n">
        <v>2022</v>
      </c>
      <c r="B419" t="n">
        <v>0</v>
      </c>
    </row>
    <row r="421">
      <c r="A421" s="26" t="inlineStr">
        <is>
          <t>Min/Median/Max</t>
        </is>
      </c>
      <c r="B421" t="inlineStr">
        <is>
          <t>0.000 / 0.000 / 0.000</t>
        </is>
      </c>
    </row>
    <row r="425">
      <c r="E425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426"/>
    <row r="427"/>
    <row r="428"/>
    <row r="429"/>
    <row r="430"/>
    <row r="435">
      <c r="A435" s="26" t="inlineStr">
        <is>
          <t>No Lead Value</t>
        </is>
      </c>
    </row>
    <row r="436">
      <c r="A436" s="26" t="inlineStr">
        <is>
          <t>Year</t>
        </is>
      </c>
      <c r="B436" s="26" t="inlineStr">
        <is>
          <t>Value</t>
        </is>
      </c>
    </row>
    <row r="437">
      <c r="A437" t="n">
        <v>2016</v>
      </c>
      <c r="B437" t="n">
        <v>3</v>
      </c>
    </row>
    <row r="438">
      <c r="A438" t="n">
        <v>2017</v>
      </c>
      <c r="B438" t="n">
        <v>4</v>
      </c>
    </row>
    <row r="439">
      <c r="A439" t="n">
        <v>2018</v>
      </c>
      <c r="B439" t="n">
        <v>18</v>
      </c>
    </row>
    <row r="440">
      <c r="A440" t="n">
        <v>2019</v>
      </c>
      <c r="B440" t="n">
        <v>16</v>
      </c>
    </row>
    <row r="441">
      <c r="A441" t="n">
        <v>2020</v>
      </c>
      <c r="B441" t="n">
        <v>22</v>
      </c>
    </row>
    <row r="442">
      <c r="A442" t="n">
        <v>2021</v>
      </c>
      <c r="B442" t="n">
        <v>15</v>
      </c>
    </row>
    <row r="443">
      <c r="A443" t="n">
        <v>2022</v>
      </c>
      <c r="B443" t="n">
        <v>13.41875691978502</v>
      </c>
    </row>
    <row r="445">
      <c r="A445" s="26" t="inlineStr">
        <is>
          <t>Min/Median/Max</t>
        </is>
      </c>
      <c r="B445" t="inlineStr">
        <is>
          <t>3.000 / 15.000 / 22.000</t>
        </is>
      </c>
    </row>
    <row r="449">
      <c r="E449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450"/>
    <row r="451"/>
    <row r="452"/>
    <row r="453"/>
    <row r="454"/>
    <row r="459">
      <c r="A459" s="26" t="inlineStr">
        <is>
          <t>Non-Payable/Non-Delivery</t>
        </is>
      </c>
    </row>
    <row r="460">
      <c r="A460" s="26" t="inlineStr">
        <is>
          <t>Year</t>
        </is>
      </c>
      <c r="B460" s="26" t="inlineStr">
        <is>
          <t>Value</t>
        </is>
      </c>
    </row>
    <row r="461">
      <c r="A461" t="n">
        <v>2016</v>
      </c>
      <c r="B461" t="n">
        <v>34</v>
      </c>
    </row>
    <row r="462">
      <c r="A462" t="n">
        <v>2017</v>
      </c>
      <c r="B462" t="n">
        <v>41</v>
      </c>
    </row>
    <row r="463">
      <c r="A463" t="n">
        <v>2018</v>
      </c>
      <c r="B463" t="n">
        <v>27</v>
      </c>
    </row>
    <row r="464">
      <c r="A464" t="n">
        <v>2019</v>
      </c>
      <c r="B464" t="n">
        <v>28</v>
      </c>
    </row>
    <row r="465">
      <c r="A465" t="n">
        <v>2020</v>
      </c>
      <c r="B465" t="n">
        <v>50</v>
      </c>
    </row>
    <row r="466">
      <c r="A466" t="n">
        <v>2021</v>
      </c>
      <c r="B466" t="n">
        <v>37</v>
      </c>
    </row>
    <row r="467">
      <c r="A467" t="n">
        <v>2022</v>
      </c>
      <c r="B467" t="n">
        <v>22.1644447955204</v>
      </c>
    </row>
    <row r="469">
      <c r="A469" s="26" t="inlineStr">
        <is>
          <t>Min/Median/Max</t>
        </is>
      </c>
      <c r="B469" t="inlineStr">
        <is>
          <t>22.164 / 34.000 / 50.000</t>
        </is>
      </c>
    </row>
    <row r="473">
      <c r="E473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474"/>
    <row r="475"/>
    <row r="476"/>
    <row r="477"/>
    <row r="478"/>
    <row r="483">
      <c r="A483" s="26" t="inlineStr">
        <is>
          <t>Other</t>
        </is>
      </c>
    </row>
    <row r="484">
      <c r="A484" s="26" t="inlineStr">
        <is>
          <t>Year</t>
        </is>
      </c>
      <c r="B484" s="26" t="inlineStr">
        <is>
          <t>Value</t>
        </is>
      </c>
    </row>
    <row r="485">
      <c r="A485" t="n">
        <v>2016</v>
      </c>
      <c r="B485" t="n">
        <v>3</v>
      </c>
    </row>
    <row r="486">
      <c r="A486" t="n">
        <v>2017</v>
      </c>
      <c r="B486" t="n">
        <v>5</v>
      </c>
    </row>
    <row r="487">
      <c r="A487" t="n">
        <v>2018</v>
      </c>
      <c r="B487" t="n">
        <v>3</v>
      </c>
    </row>
    <row r="488">
      <c r="A488" t="n">
        <v>2019</v>
      </c>
      <c r="B488" t="n">
        <v>2</v>
      </c>
    </row>
    <row r="489">
      <c r="A489" t="n">
        <v>2020</v>
      </c>
      <c r="B489" t="n">
        <v>2</v>
      </c>
    </row>
    <row r="490">
      <c r="A490" t="n">
        <v>2021</v>
      </c>
      <c r="B490" t="n">
        <v>3</v>
      </c>
    </row>
    <row r="491">
      <c r="A491" t="n">
        <v>2022</v>
      </c>
      <c r="B491" t="n">
        <v>3.837660052934627</v>
      </c>
    </row>
    <row r="493">
      <c r="A493" s="26" t="inlineStr">
        <is>
          <t>Min/Median/Max</t>
        </is>
      </c>
      <c r="B493" t="inlineStr">
        <is>
          <t>2.000 / 3.000 / 5.000</t>
        </is>
      </c>
    </row>
    <row r="497">
      <c r="E497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498"/>
    <row r="499"/>
    <row r="500"/>
    <row r="501"/>
    <row r="502"/>
    <row r="507">
      <c r="A507" s="26" t="inlineStr">
        <is>
          <t>Overpayment</t>
        </is>
      </c>
    </row>
    <row r="508">
      <c r="A508" s="26" t="inlineStr">
        <is>
          <t>Year</t>
        </is>
      </c>
      <c r="B508" s="26" t="inlineStr">
        <is>
          <t>Value</t>
        </is>
      </c>
    </row>
    <row r="509">
      <c r="A509" t="n">
        <v>2016</v>
      </c>
      <c r="B509" t="n">
        <v>0</v>
      </c>
    </row>
    <row r="510">
      <c r="A510" t="n">
        <v>2017</v>
      </c>
      <c r="B510" t="n">
        <v>8</v>
      </c>
    </row>
    <row r="511">
      <c r="A511" t="n">
        <v>2018</v>
      </c>
      <c r="B511" t="n">
        <v>6</v>
      </c>
    </row>
    <row r="512">
      <c r="A512" t="n">
        <v>2019</v>
      </c>
      <c r="B512" t="n">
        <v>5</v>
      </c>
    </row>
    <row r="513">
      <c r="A513" t="n">
        <v>2020</v>
      </c>
      <c r="B513" t="n">
        <v>4</v>
      </c>
    </row>
    <row r="514">
      <c r="A514" t="n">
        <v>2021</v>
      </c>
      <c r="B514" t="n">
        <v>2</v>
      </c>
    </row>
    <row r="515">
      <c r="A515" t="n">
        <v>2022</v>
      </c>
      <c r="B515" t="n">
        <v>3.106677185708984</v>
      </c>
    </row>
    <row r="517">
      <c r="A517" s="26" t="inlineStr">
        <is>
          <t>Min/Median/Max</t>
        </is>
      </c>
      <c r="B517" t="inlineStr">
        <is>
          <t>0.000 / 4.000 / 8.000</t>
        </is>
      </c>
    </row>
    <row r="521">
      <c r="E521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522"/>
    <row r="523"/>
    <row r="524"/>
    <row r="525"/>
    <row r="526"/>
    <row r="531">
      <c r="A531" s="26" t="inlineStr">
        <is>
          <t>Personal Data Breach</t>
        </is>
      </c>
    </row>
    <row r="532">
      <c r="A532" s="26" t="inlineStr">
        <is>
          <t>Year</t>
        </is>
      </c>
      <c r="B532" s="26" t="inlineStr">
        <is>
          <t>Value</t>
        </is>
      </c>
    </row>
    <row r="533">
      <c r="A533" t="n">
        <v>2016</v>
      </c>
      <c r="B533" t="n">
        <v>11</v>
      </c>
    </row>
    <row r="534">
      <c r="A534" t="n">
        <v>2017</v>
      </c>
      <c r="B534" t="n">
        <v>13</v>
      </c>
    </row>
    <row r="535">
      <c r="A535" t="n">
        <v>2018</v>
      </c>
      <c r="B535" t="n">
        <v>18</v>
      </c>
    </row>
    <row r="536">
      <c r="A536" t="n">
        <v>2019</v>
      </c>
      <c r="B536" t="n">
        <v>13</v>
      </c>
    </row>
    <row r="537">
      <c r="A537" t="n">
        <v>2020</v>
      </c>
      <c r="B537" t="n">
        <v>18</v>
      </c>
    </row>
    <row r="538">
      <c r="A538" t="n">
        <v>2021</v>
      </c>
      <c r="B538" t="n">
        <v>19</v>
      </c>
    </row>
    <row r="539">
      <c r="A539" t="n">
        <v>2022</v>
      </c>
      <c r="B539" t="n">
        <v>23.57419746802699</v>
      </c>
    </row>
    <row r="541">
      <c r="A541" s="26" t="inlineStr">
        <is>
          <t>Min/Median/Max</t>
        </is>
      </c>
      <c r="B541" t="inlineStr">
        <is>
          <t>11.000 / 18.000 / 23.574</t>
        </is>
      </c>
    </row>
    <row r="545">
      <c r="E545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546"/>
    <row r="547"/>
    <row r="548"/>
    <row r="549"/>
    <row r="550"/>
    <row r="555">
      <c r="A555" s="26" t="inlineStr">
        <is>
          <t>Phishing</t>
        </is>
      </c>
    </row>
    <row r="556">
      <c r="A556" s="26" t="inlineStr">
        <is>
          <t>Year</t>
        </is>
      </c>
      <c r="B556" s="26" t="inlineStr">
        <is>
          <t>Value</t>
        </is>
      </c>
    </row>
    <row r="557">
      <c r="A557" t="n">
        <v>2016</v>
      </c>
      <c r="B557" t="n">
        <v>7</v>
      </c>
    </row>
    <row r="558">
      <c r="A558" t="n">
        <v>2017</v>
      </c>
      <c r="B558" t="n">
        <v>9</v>
      </c>
    </row>
    <row r="559">
      <c r="A559" t="n">
        <v>2018</v>
      </c>
      <c r="B559" t="n">
        <v>8</v>
      </c>
    </row>
    <row r="560">
      <c r="A560" t="n">
        <v>2019</v>
      </c>
      <c r="B560" t="n">
        <v>8</v>
      </c>
    </row>
    <row r="561">
      <c r="A561" t="n">
        <v>2020</v>
      </c>
      <c r="B561" t="n">
        <v>9</v>
      </c>
    </row>
    <row r="562">
      <c r="A562" t="n">
        <v>2021</v>
      </c>
      <c r="B562" t="n">
        <v>11</v>
      </c>
    </row>
    <row r="563">
      <c r="A563" t="n">
        <v>2022</v>
      </c>
      <c r="B563" t="n">
        <v>7.727533167813943</v>
      </c>
    </row>
    <row r="565">
      <c r="A565" s="26" t="inlineStr">
        <is>
          <t>Min/Median/Max</t>
        </is>
      </c>
      <c r="B565" t="inlineStr">
        <is>
          <t>7.000 / 8.000 / 11.000</t>
        </is>
      </c>
    </row>
    <row r="569">
      <c r="E569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570"/>
    <row r="571"/>
    <row r="572"/>
    <row r="573"/>
    <row r="574"/>
    <row r="579">
      <c r="A579" s="26" t="inlineStr">
        <is>
          <t>Ransomware</t>
        </is>
      </c>
    </row>
    <row r="580">
      <c r="A580" s="26" t="inlineStr">
        <is>
          <t>Year</t>
        </is>
      </c>
      <c r="B580" s="26" t="inlineStr">
        <is>
          <t>Value</t>
        </is>
      </c>
    </row>
    <row r="581">
      <c r="A581" t="n">
        <v>2016</v>
      </c>
      <c r="B581" t="n">
        <v>1</v>
      </c>
    </row>
    <row r="582">
      <c r="A582" t="n">
        <v>2017</v>
      </c>
      <c r="B582" t="n">
        <v>0</v>
      </c>
    </row>
    <row r="583">
      <c r="A583" t="n">
        <v>2018</v>
      </c>
      <c r="B583" t="n">
        <v>0</v>
      </c>
    </row>
    <row r="584">
      <c r="A584" t="n">
        <v>2019</v>
      </c>
      <c r="B584" t="n">
        <v>0</v>
      </c>
    </row>
    <row r="585">
      <c r="A585" t="n">
        <v>2020</v>
      </c>
      <c r="B585" t="n">
        <v>0</v>
      </c>
    </row>
    <row r="586">
      <c r="A586" t="n">
        <v>2021</v>
      </c>
      <c r="B586" t="n">
        <v>1</v>
      </c>
    </row>
    <row r="587">
      <c r="A587" t="n">
        <v>2022</v>
      </c>
      <c r="B587" t="n">
        <v>0.8093024601426765</v>
      </c>
    </row>
    <row r="589">
      <c r="A589" s="26" t="inlineStr">
        <is>
          <t>Min/Median/Max</t>
        </is>
      </c>
      <c r="B589" t="inlineStr">
        <is>
          <t>0.000 / 0.000 / 1.000</t>
        </is>
      </c>
    </row>
    <row r="593">
      <c r="E593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594"/>
    <row r="595"/>
    <row r="596"/>
    <row r="597"/>
    <row r="598"/>
    <row r="603">
      <c r="A603" s="26" t="inlineStr">
        <is>
          <t>Real Estate</t>
        </is>
      </c>
    </row>
    <row r="604">
      <c r="A604" s="26" t="inlineStr">
        <is>
          <t>Year</t>
        </is>
      </c>
      <c r="B604" s="26" t="inlineStr">
        <is>
          <t>Value</t>
        </is>
      </c>
    </row>
    <row r="605">
      <c r="A605" t="n">
        <v>2016</v>
      </c>
      <c r="B605" t="n">
        <v>4</v>
      </c>
    </row>
    <row r="606">
      <c r="A606" t="n">
        <v>2017</v>
      </c>
      <c r="B606" t="n">
        <v>3</v>
      </c>
    </row>
    <row r="607">
      <c r="A607" t="n">
        <v>2018</v>
      </c>
      <c r="B607" t="n">
        <v>4</v>
      </c>
    </row>
    <row r="608">
      <c r="A608" t="n">
        <v>2019</v>
      </c>
      <c r="B608" t="n">
        <v>3</v>
      </c>
    </row>
    <row r="609">
      <c r="A609" t="n">
        <v>2020</v>
      </c>
      <c r="B609" t="n">
        <v>6</v>
      </c>
    </row>
    <row r="610">
      <c r="A610" t="n">
        <v>2021</v>
      </c>
      <c r="B610" t="n">
        <v>4</v>
      </c>
    </row>
    <row r="611">
      <c r="A611" t="n">
        <v>2022</v>
      </c>
      <c r="B611" t="n">
        <v>4.542536389187926</v>
      </c>
    </row>
    <row r="613">
      <c r="A613" s="26" t="inlineStr">
        <is>
          <t>Min/Median/Max</t>
        </is>
      </c>
      <c r="B613" t="inlineStr">
        <is>
          <t>3.000 / 4.000 / 6.000</t>
        </is>
      </c>
    </row>
    <row r="617">
      <c r="E617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618"/>
    <row r="619"/>
    <row r="620"/>
    <row r="621"/>
    <row r="622"/>
    <row r="627">
      <c r="A627" s="26" t="inlineStr">
        <is>
          <t>SIM Swap</t>
        </is>
      </c>
    </row>
    <row r="628">
      <c r="A628" s="26" t="inlineStr">
        <is>
          <t>Year</t>
        </is>
      </c>
      <c r="B628" s="26" t="inlineStr">
        <is>
          <t>Value</t>
        </is>
      </c>
    </row>
    <row r="629">
      <c r="A629" t="n">
        <v>2016</v>
      </c>
      <c r="B629" t="n">
        <v>0</v>
      </c>
    </row>
    <row r="630">
      <c r="A630" t="n">
        <v>2017</v>
      </c>
      <c r="B630" t="n">
        <v>0</v>
      </c>
    </row>
    <row r="631">
      <c r="A631" t="n">
        <v>2018</v>
      </c>
      <c r="B631" t="n">
        <v>0</v>
      </c>
    </row>
    <row r="632">
      <c r="A632" t="n">
        <v>2019</v>
      </c>
      <c r="B632" t="n">
        <v>0</v>
      </c>
    </row>
    <row r="633">
      <c r="A633" t="n">
        <v>2020</v>
      </c>
      <c r="B633" t="n">
        <v>0</v>
      </c>
    </row>
    <row r="634">
      <c r="A634" t="n">
        <v>2021</v>
      </c>
      <c r="B634" t="n">
        <v>0</v>
      </c>
    </row>
    <row r="635">
      <c r="A635" t="n">
        <v>2022</v>
      </c>
      <c r="B635" t="n">
        <v>0.65266327430861</v>
      </c>
    </row>
    <row r="637">
      <c r="A637" s="26" t="inlineStr">
        <is>
          <t>Min/Median/Max</t>
        </is>
      </c>
      <c r="B637" t="inlineStr">
        <is>
          <t>0.000 / 0.000 / 0.653</t>
        </is>
      </c>
    </row>
    <row r="641">
      <c r="E641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642"/>
    <row r="643"/>
    <row r="644"/>
    <row r="645"/>
    <row r="646"/>
    <row r="651">
      <c r="A651" s="26" t="inlineStr">
        <is>
          <t>Spoofing</t>
        </is>
      </c>
    </row>
    <row r="652">
      <c r="A652" s="26" t="inlineStr">
        <is>
          <t>Year</t>
        </is>
      </c>
      <c r="B652" s="26" t="inlineStr">
        <is>
          <t>Value</t>
        </is>
      </c>
    </row>
    <row r="653">
      <c r="A653" t="n">
        <v>2016</v>
      </c>
      <c r="B653" t="n">
        <v>0</v>
      </c>
    </row>
    <row r="654">
      <c r="A654" t="n">
        <v>2017</v>
      </c>
      <c r="B654" t="n">
        <v>0</v>
      </c>
    </row>
    <row r="655">
      <c r="A655" t="n">
        <v>2018</v>
      </c>
      <c r="B655" t="n">
        <v>5</v>
      </c>
    </row>
    <row r="656">
      <c r="A656" t="n">
        <v>2019</v>
      </c>
      <c r="B656" t="n">
        <v>9</v>
      </c>
    </row>
    <row r="657">
      <c r="A657" t="n">
        <v>2020</v>
      </c>
      <c r="B657" t="n">
        <v>9</v>
      </c>
    </row>
    <row r="658">
      <c r="A658" t="n">
        <v>2021</v>
      </c>
      <c r="B658" t="n">
        <v>7</v>
      </c>
    </row>
    <row r="659">
      <c r="A659" t="n">
        <v>2022</v>
      </c>
      <c r="B659" t="n">
        <v>8.35408991115021</v>
      </c>
    </row>
    <row r="661">
      <c r="A661" s="26" t="inlineStr">
        <is>
          <t>Min/Median/Max</t>
        </is>
      </c>
      <c r="B661" t="inlineStr">
        <is>
          <t>0.000 / 7.000 / 9.000</t>
        </is>
      </c>
    </row>
    <row r="665">
      <c r="E665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666"/>
    <row r="667"/>
    <row r="668"/>
    <row r="669"/>
    <row r="670"/>
    <row r="675">
      <c r="A675" s="26" t="inlineStr">
        <is>
          <t>Tech Support</t>
        </is>
      </c>
    </row>
    <row r="676">
      <c r="A676" s="26" t="inlineStr">
        <is>
          <t>Year</t>
        </is>
      </c>
      <c r="B676" s="26" t="inlineStr">
        <is>
          <t>Value</t>
        </is>
      </c>
    </row>
    <row r="677">
      <c r="A677" t="n">
        <v>2016</v>
      </c>
      <c r="B677" t="n">
        <v>4</v>
      </c>
    </row>
    <row r="678">
      <c r="A678" t="n">
        <v>2017</v>
      </c>
      <c r="B678" t="n">
        <v>5</v>
      </c>
    </row>
    <row r="679">
      <c r="A679" t="n">
        <v>2018</v>
      </c>
      <c r="B679" t="n">
        <v>6</v>
      </c>
    </row>
    <row r="680">
      <c r="A680" t="n">
        <v>2019</v>
      </c>
      <c r="B680" t="n">
        <v>6</v>
      </c>
    </row>
    <row r="681">
      <c r="A681" t="n">
        <v>2020</v>
      </c>
      <c r="B681" t="n">
        <v>7</v>
      </c>
    </row>
    <row r="682">
      <c r="A682" t="n">
        <v>2021</v>
      </c>
      <c r="B682" t="n">
        <v>10</v>
      </c>
    </row>
    <row r="683">
      <c r="A683" t="n">
        <v>2022</v>
      </c>
      <c r="B683" t="n">
        <v>15.89887736215774</v>
      </c>
    </row>
    <row r="685">
      <c r="A685" s="26" t="inlineStr">
        <is>
          <t>Min/Median/Max</t>
        </is>
      </c>
      <c r="B685" t="inlineStr">
        <is>
          <t>4.000 / 6.000 / 15.899</t>
        </is>
      </c>
    </row>
    <row r="689">
      <c r="E689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690"/>
    <row r="691"/>
    <row r="692"/>
    <row r="693"/>
    <row r="694"/>
    <row r="699">
      <c r="A699" s="26" t="inlineStr">
        <is>
          <t>Threats of Violence</t>
        </is>
      </c>
    </row>
    <row r="700">
      <c r="A700" s="26" t="inlineStr">
        <is>
          <t>Year</t>
        </is>
      </c>
      <c r="B700" s="26" t="inlineStr">
        <is>
          <t>Value</t>
        </is>
      </c>
    </row>
    <row r="701">
      <c r="A701" t="n">
        <v>2016</v>
      </c>
      <c r="B701" t="n">
        <v>7</v>
      </c>
    </row>
    <row r="702">
      <c r="A702" t="n">
        <v>2017</v>
      </c>
      <c r="B702" t="n">
        <v>6</v>
      </c>
    </row>
    <row r="703">
      <c r="A703" t="n">
        <v>2018</v>
      </c>
      <c r="B703" t="n">
        <v>7</v>
      </c>
    </row>
    <row r="704">
      <c r="A704" t="n">
        <v>2019</v>
      </c>
      <c r="B704" t="n">
        <v>5</v>
      </c>
    </row>
    <row r="705">
      <c r="A705" t="n">
        <v>2020</v>
      </c>
      <c r="B705" t="n">
        <v>6</v>
      </c>
    </row>
    <row r="706">
      <c r="A706" t="n">
        <v>2021</v>
      </c>
      <c r="B706" t="n">
        <v>4</v>
      </c>
    </row>
    <row r="707">
      <c r="A707" t="n">
        <v>2022</v>
      </c>
      <c r="B707" t="n">
        <v>0.7309828672256432</v>
      </c>
    </row>
    <row r="709">
      <c r="A709" s="26" t="inlineStr">
        <is>
          <t>Min/Median/Max</t>
        </is>
      </c>
      <c r="B709" t="inlineStr">
        <is>
          <t>0.731 / 6.000 / 7.000</t>
        </is>
      </c>
    </row>
    <row r="713">
      <c r="E713" s="27" t="inlineStr">
        <is>
          <t>References:
IC3 crime data: https://www.ic3.gov/Media/PDF/AnnualReport/2016State/StateReport.aspx#?s=47; https://www.ic3.gov/Media/PDF/AnnualReport/2017State/StateReport.aspx#?s=47; https://www.ic3.gov/Media/PDF/AnnualReport/2018State/StateReport.aspx#?s=47; https://www.ic3.gov/Media/PDF/AnnualReport/2019State/StateReport.aspx#?s=47; https://www.ic3.gov/Media/PDF/AnnualReport/2020State/StateReport.aspx#?s=47; https://www.ic3.gov/Media/PDF/AnnualReport/2021State/StateReport.aspx#?s=47; https://www.ic3.gov/Media/PDF/AnnualReport/2022State/StateReport.aspx#?s=47
Population data: https://www.census.gov/data/tables/time-series/demo/popest/2020s-total-cities-and-towns.html; https://www.census.gov/quickfacts/chattanoogacitytennessee; https://www.census.gov/quickfacts/fact/table/TN/PST045222; https://www2.census.gov/programs-surveys/popest/datasets/2020-2022/state/totals/NST-EST2022-POPCHG2020_2022.csv; https://www2.census.gov/programs-surveys/popest/tables/2010-2019/cities/totals/SUB-IP-EST2019-ANNRES-47.xlsx; https://www2.census.gov/programs-surveys/popest/tables/2010-2019/state/totals/nst-est2019-01.xlsx</t>
        </is>
      </c>
    </row>
    <row r="714"/>
    <row r="715"/>
    <row r="716"/>
    <row r="717"/>
    <row r="718"/>
  </sheetData>
  <mergeCells count="31">
    <mergeCell ref="E17:L22"/>
    <mergeCell ref="E617:L622"/>
    <mergeCell ref="E209:L214"/>
    <mergeCell ref="E569:L574"/>
    <mergeCell ref="E161:L166"/>
    <mergeCell ref="E137:L142"/>
    <mergeCell ref="E65:L70"/>
    <mergeCell ref="E329:L334"/>
    <mergeCell ref="E257:L262"/>
    <mergeCell ref="E281:L286"/>
    <mergeCell ref="E521:L526"/>
    <mergeCell ref="E473:L478"/>
    <mergeCell ref="E89:L94"/>
    <mergeCell ref="E713:L718"/>
    <mergeCell ref="E689:L694"/>
    <mergeCell ref="E41:L46"/>
    <mergeCell ref="E113:L118"/>
    <mergeCell ref="E641:L646"/>
    <mergeCell ref="E233:L238"/>
    <mergeCell ref="E305:L310"/>
    <mergeCell ref="E425:L430"/>
    <mergeCell ref="E401:L406"/>
    <mergeCell ref="E377:L382"/>
    <mergeCell ref="E497:L502"/>
    <mergeCell ref="E593:L598"/>
    <mergeCell ref="E665:L670"/>
    <mergeCell ref="A1:L1"/>
    <mergeCell ref="E353:L358"/>
    <mergeCell ref="E185:L190"/>
    <mergeCell ref="E449:L454"/>
    <mergeCell ref="E545:L55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O'Keefe-Odom</dc:creator>
  <dcterms:created xsi:type="dcterms:W3CDTF">2023-11-08T00:59:32Z</dcterms:created>
  <dcterms:modified xsi:type="dcterms:W3CDTF">2026-08-22T17:23:39Z</dcterms:modified>
  <cp:lastModifiedBy>John O'Keefe-Odom</cp:lastModifiedBy>
</cp:coreProperties>
</file>