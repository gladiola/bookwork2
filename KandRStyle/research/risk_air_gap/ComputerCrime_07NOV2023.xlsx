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4232d46cffec02/Documents/Blondie/bookWork/risk_air_gap/"/>
    </mc:Choice>
  </mc:AlternateContent>
  <xr:revisionPtr revIDLastSave="1336" documentId="8_{71B43CFF-3F41-4CC0-A24B-05BFA34E5F02}" xr6:coauthVersionLast="47" xr6:coauthVersionMax="47" xr10:uidLastSave="{F4C9F20F-DF03-494E-A0B4-6F65F0CD356A}"/>
  <bookViews>
    <workbookView xWindow="-108" yWindow="-108" windowWidth="23256" windowHeight="12456" firstSheet="7" activeTab="8" xr2:uid="{A6B90A6B-86D8-4A34-B9C9-776670F3C0EC}"/>
  </bookViews>
  <sheets>
    <sheet name="State Summary Graphs" sheetId="13" r:id="rId1"/>
    <sheet name="2016_IC3 State to City" sheetId="11" r:id="rId2"/>
    <sheet name="2017_IC3 State to City" sheetId="10" r:id="rId3"/>
    <sheet name="2018_IC3 State to City" sheetId="9" r:id="rId4"/>
    <sheet name="2019_IC3 State to City" sheetId="8" r:id="rId5"/>
    <sheet name="2020_IC3 State to City" sheetId="7" r:id="rId6"/>
    <sheet name="2021_IC3 State to City" sheetId="6" r:id="rId7"/>
    <sheet name="City Summary" sheetId="12" r:id="rId8"/>
    <sheet name="2022_IC3 State to City" sheetId="3" r:id="rId9"/>
    <sheet name="BLANK_IC3 State to City" sheetId="4" r:id="rId10"/>
    <sheet name="BLANK_IC3 State to City (2)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8" l="1"/>
  <c r="I13" i="10"/>
  <c r="I12" i="10"/>
  <c r="F29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38" i="3" l="1"/>
  <c r="D19" i="12" l="1"/>
  <c r="P9" i="12"/>
  <c r="O9" i="12"/>
  <c r="N9" i="12"/>
  <c r="M9" i="12"/>
  <c r="P10" i="12"/>
  <c r="O10" i="12"/>
  <c r="N10" i="12"/>
  <c r="M10" i="12"/>
  <c r="L10" i="12"/>
  <c r="K10" i="12"/>
  <c r="J10" i="12"/>
  <c r="I10" i="12"/>
  <c r="H10" i="12"/>
  <c r="G10" i="12"/>
  <c r="F10" i="12"/>
  <c r="L9" i="12"/>
  <c r="K9" i="12"/>
  <c r="J9" i="12"/>
  <c r="I9" i="12"/>
  <c r="H9" i="12"/>
  <c r="G9" i="12"/>
  <c r="F9" i="12"/>
  <c r="P8" i="12"/>
  <c r="O8" i="12"/>
  <c r="N8" i="12"/>
  <c r="M8" i="12"/>
  <c r="L8" i="12"/>
  <c r="K8" i="12"/>
  <c r="J8" i="12"/>
  <c r="I8" i="12"/>
  <c r="H8" i="12"/>
  <c r="G8" i="12"/>
  <c r="F8" i="12"/>
  <c r="P7" i="12"/>
  <c r="O7" i="12"/>
  <c r="N7" i="12"/>
  <c r="M7" i="12"/>
  <c r="L7" i="12"/>
  <c r="K7" i="12"/>
  <c r="J7" i="12"/>
  <c r="I7" i="12"/>
  <c r="H7" i="12"/>
  <c r="G7" i="12"/>
  <c r="F7" i="12"/>
  <c r="P6" i="12"/>
  <c r="O6" i="12"/>
  <c r="N6" i="12"/>
  <c r="M6" i="12"/>
  <c r="L6" i="12"/>
  <c r="K6" i="12"/>
  <c r="J6" i="12"/>
  <c r="I6" i="12"/>
  <c r="H6" i="12"/>
  <c r="G6" i="12"/>
  <c r="F6" i="12"/>
  <c r="P5" i="12"/>
  <c r="O5" i="12"/>
  <c r="N5" i="12"/>
  <c r="M5" i="12"/>
  <c r="L5" i="12"/>
  <c r="K5" i="12"/>
  <c r="J5" i="12"/>
  <c r="I5" i="12"/>
  <c r="H5" i="12"/>
  <c r="G5" i="12"/>
  <c r="F5" i="12"/>
  <c r="C5" i="13"/>
  <c r="C6" i="13"/>
  <c r="C7" i="13"/>
  <c r="C8" i="13"/>
  <c r="C9" i="13"/>
  <c r="C10" i="13"/>
  <c r="R11" i="13"/>
  <c r="C11" i="13"/>
  <c r="C11" i="12"/>
  <c r="C10" i="12"/>
  <c r="D10" i="12" s="1"/>
  <c r="C9" i="12"/>
  <c r="D9" i="12" s="1"/>
  <c r="C8" i="12"/>
  <c r="D8" i="12" s="1"/>
  <c r="C7" i="12"/>
  <c r="D7" i="12" s="1"/>
  <c r="C6" i="12"/>
  <c r="D6" i="12" s="1"/>
  <c r="C5" i="12"/>
  <c r="D21" i="12" s="1"/>
  <c r="H22" i="11"/>
  <c r="E38" i="11"/>
  <c r="I38" i="11" s="1"/>
  <c r="J37" i="11"/>
  <c r="O36" i="11"/>
  <c r="L36" i="11"/>
  <c r="M36" i="11" s="1"/>
  <c r="P36" i="11" s="1"/>
  <c r="I36" i="11"/>
  <c r="F36" i="11"/>
  <c r="G36" i="11" s="1"/>
  <c r="O35" i="11"/>
  <c r="L35" i="11"/>
  <c r="M35" i="11" s="1"/>
  <c r="I35" i="11"/>
  <c r="F35" i="11"/>
  <c r="G35" i="11" s="1"/>
  <c r="O34" i="11"/>
  <c r="L34" i="11"/>
  <c r="M34" i="11" s="1"/>
  <c r="P34" i="11" s="1"/>
  <c r="I34" i="11"/>
  <c r="J34" i="11" s="1"/>
  <c r="F34" i="11"/>
  <c r="G34" i="11" s="1"/>
  <c r="O33" i="11"/>
  <c r="L33" i="11"/>
  <c r="M33" i="11" s="1"/>
  <c r="P33" i="11" s="1"/>
  <c r="I33" i="11"/>
  <c r="F33" i="11"/>
  <c r="G33" i="11" s="1"/>
  <c r="O32" i="11"/>
  <c r="L32" i="11"/>
  <c r="M32" i="11" s="1"/>
  <c r="P32" i="11" s="1"/>
  <c r="I32" i="11"/>
  <c r="F32" i="11"/>
  <c r="G32" i="11" s="1"/>
  <c r="O31" i="11"/>
  <c r="L31" i="11"/>
  <c r="M31" i="11" s="1"/>
  <c r="I31" i="11"/>
  <c r="F31" i="11"/>
  <c r="G31" i="11" s="1"/>
  <c r="O30" i="11"/>
  <c r="M30" i="11"/>
  <c r="L30" i="11"/>
  <c r="I30" i="11"/>
  <c r="F30" i="11"/>
  <c r="G30" i="11" s="1"/>
  <c r="O29" i="11"/>
  <c r="L29" i="11"/>
  <c r="M29" i="11" s="1"/>
  <c r="I29" i="11"/>
  <c r="F29" i="11"/>
  <c r="G29" i="11" s="1"/>
  <c r="O28" i="11"/>
  <c r="M28" i="11"/>
  <c r="P28" i="11" s="1"/>
  <c r="L28" i="11"/>
  <c r="I28" i="11"/>
  <c r="F28" i="11"/>
  <c r="G28" i="11" s="1"/>
  <c r="O27" i="11"/>
  <c r="L27" i="11"/>
  <c r="M27" i="11" s="1"/>
  <c r="I27" i="11"/>
  <c r="F27" i="11"/>
  <c r="G27" i="11" s="1"/>
  <c r="O26" i="11"/>
  <c r="L26" i="11"/>
  <c r="M26" i="11" s="1"/>
  <c r="I26" i="11"/>
  <c r="F26" i="11"/>
  <c r="G26" i="11" s="1"/>
  <c r="O25" i="11"/>
  <c r="L25" i="11"/>
  <c r="M25" i="11" s="1"/>
  <c r="I25" i="11"/>
  <c r="F25" i="11"/>
  <c r="G25" i="11" s="1"/>
  <c r="O24" i="11"/>
  <c r="M24" i="11"/>
  <c r="P24" i="11" s="1"/>
  <c r="L24" i="11"/>
  <c r="I24" i="11"/>
  <c r="F24" i="11"/>
  <c r="G24" i="11" s="1"/>
  <c r="O23" i="11"/>
  <c r="L23" i="11"/>
  <c r="M23" i="11" s="1"/>
  <c r="P23" i="11" s="1"/>
  <c r="I23" i="11"/>
  <c r="F23" i="11"/>
  <c r="G23" i="11" s="1"/>
  <c r="O22" i="11"/>
  <c r="L22" i="11"/>
  <c r="M22" i="11" s="1"/>
  <c r="I22" i="11"/>
  <c r="F22" i="11"/>
  <c r="G22" i="11" s="1"/>
  <c r="O21" i="11"/>
  <c r="L21" i="11"/>
  <c r="M21" i="11" s="1"/>
  <c r="I21" i="11"/>
  <c r="F21" i="11"/>
  <c r="G21" i="11" s="1"/>
  <c r="O20" i="11"/>
  <c r="L20" i="11"/>
  <c r="M20" i="11" s="1"/>
  <c r="P20" i="11" s="1"/>
  <c r="I20" i="11"/>
  <c r="F20" i="11"/>
  <c r="G20" i="11" s="1"/>
  <c r="O19" i="11"/>
  <c r="L19" i="11"/>
  <c r="M19" i="11" s="1"/>
  <c r="I19" i="11"/>
  <c r="F19" i="11"/>
  <c r="G19" i="11" s="1"/>
  <c r="O18" i="11"/>
  <c r="L18" i="11"/>
  <c r="M18" i="11" s="1"/>
  <c r="P18" i="11" s="1"/>
  <c r="I18" i="11"/>
  <c r="F18" i="11"/>
  <c r="G18" i="11" s="1"/>
  <c r="O17" i="11"/>
  <c r="L17" i="11"/>
  <c r="M17" i="11" s="1"/>
  <c r="P17" i="11" s="1"/>
  <c r="I17" i="11"/>
  <c r="F17" i="11"/>
  <c r="G17" i="11" s="1"/>
  <c r="O16" i="11"/>
  <c r="M16" i="11"/>
  <c r="P16" i="11" s="1"/>
  <c r="L16" i="11"/>
  <c r="F16" i="11"/>
  <c r="G16" i="11" s="1"/>
  <c r="O15" i="11"/>
  <c r="L15" i="11"/>
  <c r="M15" i="11" s="1"/>
  <c r="I15" i="11"/>
  <c r="F15" i="11"/>
  <c r="G15" i="11" s="1"/>
  <c r="O14" i="11"/>
  <c r="L14" i="11"/>
  <c r="M14" i="11" s="1"/>
  <c r="P14" i="11" s="1"/>
  <c r="I14" i="11"/>
  <c r="F14" i="11"/>
  <c r="G14" i="11" s="1"/>
  <c r="L13" i="11"/>
  <c r="M13" i="11" s="1"/>
  <c r="P13" i="11" s="1"/>
  <c r="I13" i="11"/>
  <c r="F13" i="11"/>
  <c r="G13" i="11" s="1"/>
  <c r="O12" i="11"/>
  <c r="L12" i="11"/>
  <c r="M12" i="11" s="1"/>
  <c r="I12" i="11"/>
  <c r="F12" i="11"/>
  <c r="G12" i="11" s="1"/>
  <c r="O11" i="11"/>
  <c r="L11" i="11"/>
  <c r="M11" i="11" s="1"/>
  <c r="P11" i="11" s="1"/>
  <c r="I11" i="11"/>
  <c r="F11" i="11"/>
  <c r="G11" i="11" s="1"/>
  <c r="O10" i="11"/>
  <c r="L10" i="11"/>
  <c r="M10" i="11" s="1"/>
  <c r="P10" i="11" s="1"/>
  <c r="I10" i="11"/>
  <c r="F10" i="11"/>
  <c r="G10" i="11" s="1"/>
  <c r="O9" i="11"/>
  <c r="L9" i="11"/>
  <c r="M9" i="11" s="1"/>
  <c r="P9" i="11" s="1"/>
  <c r="I9" i="11"/>
  <c r="F9" i="11"/>
  <c r="G9" i="11" s="1"/>
  <c r="O8" i="11"/>
  <c r="L8" i="11"/>
  <c r="M8" i="11" s="1"/>
  <c r="P8" i="11" s="1"/>
  <c r="I8" i="11"/>
  <c r="F8" i="11"/>
  <c r="G8" i="11" s="1"/>
  <c r="O7" i="11"/>
  <c r="L7" i="11"/>
  <c r="M7" i="11" s="1"/>
  <c r="I7" i="11"/>
  <c r="F7" i="11"/>
  <c r="G7" i="11" s="1"/>
  <c r="E38" i="10"/>
  <c r="I38" i="10" s="1"/>
  <c r="J37" i="10"/>
  <c r="O36" i="10"/>
  <c r="L36" i="10"/>
  <c r="M36" i="10" s="1"/>
  <c r="I36" i="10"/>
  <c r="F36" i="10"/>
  <c r="G36" i="10" s="1"/>
  <c r="O35" i="10"/>
  <c r="L35" i="10"/>
  <c r="M35" i="10" s="1"/>
  <c r="P35" i="10" s="1"/>
  <c r="I35" i="10"/>
  <c r="F35" i="10"/>
  <c r="G35" i="10" s="1"/>
  <c r="O34" i="10"/>
  <c r="L34" i="10"/>
  <c r="M34" i="10" s="1"/>
  <c r="I34" i="10"/>
  <c r="J34" i="10" s="1"/>
  <c r="G34" i="10"/>
  <c r="F34" i="10"/>
  <c r="O33" i="10"/>
  <c r="L33" i="10"/>
  <c r="M33" i="10" s="1"/>
  <c r="P33" i="10" s="1"/>
  <c r="I33" i="10"/>
  <c r="J33" i="10" s="1"/>
  <c r="G33" i="10"/>
  <c r="F33" i="10"/>
  <c r="O32" i="10"/>
  <c r="L32" i="10"/>
  <c r="M32" i="10" s="1"/>
  <c r="I32" i="10"/>
  <c r="G32" i="10"/>
  <c r="F32" i="10"/>
  <c r="O31" i="10"/>
  <c r="L31" i="10"/>
  <c r="M31" i="10" s="1"/>
  <c r="P31" i="10" s="1"/>
  <c r="I31" i="10"/>
  <c r="F31" i="10"/>
  <c r="G31" i="10" s="1"/>
  <c r="O30" i="10"/>
  <c r="L30" i="10"/>
  <c r="M30" i="10" s="1"/>
  <c r="I30" i="10"/>
  <c r="F30" i="10"/>
  <c r="G30" i="10" s="1"/>
  <c r="O29" i="10"/>
  <c r="L29" i="10"/>
  <c r="M29" i="10" s="1"/>
  <c r="P29" i="10" s="1"/>
  <c r="I29" i="10"/>
  <c r="F29" i="10"/>
  <c r="G29" i="10" s="1"/>
  <c r="O28" i="10"/>
  <c r="L28" i="10"/>
  <c r="M28" i="10" s="1"/>
  <c r="I28" i="10"/>
  <c r="F28" i="10"/>
  <c r="G28" i="10" s="1"/>
  <c r="O27" i="10"/>
  <c r="L27" i="10"/>
  <c r="M27" i="10" s="1"/>
  <c r="I27" i="10"/>
  <c r="F27" i="10"/>
  <c r="G27" i="10" s="1"/>
  <c r="O26" i="10"/>
  <c r="L26" i="10"/>
  <c r="M26" i="10" s="1"/>
  <c r="I26" i="10"/>
  <c r="F26" i="10"/>
  <c r="G26" i="10" s="1"/>
  <c r="O25" i="10"/>
  <c r="L25" i="10"/>
  <c r="M25" i="10" s="1"/>
  <c r="I25" i="10"/>
  <c r="F25" i="10"/>
  <c r="G25" i="10" s="1"/>
  <c r="O24" i="10"/>
  <c r="L24" i="10"/>
  <c r="M24" i="10" s="1"/>
  <c r="P24" i="10" s="1"/>
  <c r="I24" i="10"/>
  <c r="G24" i="10"/>
  <c r="F24" i="10"/>
  <c r="O23" i="10"/>
  <c r="L23" i="10"/>
  <c r="M23" i="10" s="1"/>
  <c r="P23" i="10" s="1"/>
  <c r="I23" i="10"/>
  <c r="G23" i="10"/>
  <c r="F23" i="10"/>
  <c r="O22" i="10"/>
  <c r="L22" i="10"/>
  <c r="M22" i="10" s="1"/>
  <c r="I22" i="10"/>
  <c r="F22" i="10"/>
  <c r="G22" i="10" s="1"/>
  <c r="O21" i="10"/>
  <c r="L21" i="10"/>
  <c r="M21" i="10" s="1"/>
  <c r="I21" i="10"/>
  <c r="F21" i="10"/>
  <c r="G21" i="10" s="1"/>
  <c r="O20" i="10"/>
  <c r="L20" i="10"/>
  <c r="M20" i="10" s="1"/>
  <c r="I20" i="10"/>
  <c r="F20" i="10"/>
  <c r="G20" i="10" s="1"/>
  <c r="O19" i="10"/>
  <c r="L19" i="10"/>
  <c r="M19" i="10" s="1"/>
  <c r="P19" i="10" s="1"/>
  <c r="I19" i="10"/>
  <c r="F19" i="10"/>
  <c r="G19" i="10" s="1"/>
  <c r="O18" i="10"/>
  <c r="L18" i="10"/>
  <c r="M18" i="10" s="1"/>
  <c r="I18" i="10"/>
  <c r="F18" i="10"/>
  <c r="G18" i="10" s="1"/>
  <c r="O17" i="10"/>
  <c r="L17" i="10"/>
  <c r="M17" i="10" s="1"/>
  <c r="P17" i="10" s="1"/>
  <c r="I17" i="10"/>
  <c r="G17" i="10"/>
  <c r="F17" i="10"/>
  <c r="O16" i="10"/>
  <c r="L16" i="10"/>
  <c r="M16" i="10" s="1"/>
  <c r="I16" i="10"/>
  <c r="G16" i="10"/>
  <c r="F16" i="10"/>
  <c r="O15" i="10"/>
  <c r="L15" i="10"/>
  <c r="M15" i="10" s="1"/>
  <c r="I15" i="10"/>
  <c r="F15" i="10"/>
  <c r="G15" i="10" s="1"/>
  <c r="O14" i="10"/>
  <c r="L14" i="10"/>
  <c r="M14" i="10" s="1"/>
  <c r="P14" i="10" s="1"/>
  <c r="I14" i="10"/>
  <c r="F14" i="10"/>
  <c r="G14" i="10" s="1"/>
  <c r="O13" i="10"/>
  <c r="L13" i="10"/>
  <c r="M13" i="10" s="1"/>
  <c r="F13" i="10"/>
  <c r="G13" i="10" s="1"/>
  <c r="O12" i="10"/>
  <c r="L12" i="10"/>
  <c r="M12" i="10" s="1"/>
  <c r="P12" i="10" s="1"/>
  <c r="F12" i="10"/>
  <c r="G12" i="10" s="1"/>
  <c r="O11" i="10"/>
  <c r="L11" i="10"/>
  <c r="M11" i="10" s="1"/>
  <c r="P11" i="10" s="1"/>
  <c r="I11" i="10"/>
  <c r="F11" i="10"/>
  <c r="G11" i="10" s="1"/>
  <c r="O10" i="10"/>
  <c r="L10" i="10"/>
  <c r="M10" i="10" s="1"/>
  <c r="I10" i="10"/>
  <c r="G10" i="10"/>
  <c r="F10" i="10"/>
  <c r="O9" i="10"/>
  <c r="L9" i="10"/>
  <c r="M9" i="10" s="1"/>
  <c r="P9" i="10" s="1"/>
  <c r="I9" i="10"/>
  <c r="G9" i="10"/>
  <c r="F9" i="10"/>
  <c r="O8" i="10"/>
  <c r="L8" i="10"/>
  <c r="M8" i="10" s="1"/>
  <c r="I8" i="10"/>
  <c r="G8" i="10"/>
  <c r="F8" i="10"/>
  <c r="O7" i="10"/>
  <c r="L7" i="10"/>
  <c r="M7" i="10" s="1"/>
  <c r="I7" i="10"/>
  <c r="F7" i="10"/>
  <c r="G7" i="10" s="1"/>
  <c r="D14" i="12" l="1"/>
  <c r="D17" i="12" s="1"/>
  <c r="D11" i="12"/>
  <c r="P35" i="11"/>
  <c r="P31" i="11"/>
  <c r="P30" i="11"/>
  <c r="P27" i="11"/>
  <c r="P26" i="11"/>
  <c r="P22" i="11"/>
  <c r="P12" i="11"/>
  <c r="P29" i="11"/>
  <c r="P25" i="11"/>
  <c r="P21" i="11"/>
  <c r="P19" i="11"/>
  <c r="P15" i="11"/>
  <c r="P7" i="11"/>
  <c r="J26" i="11"/>
  <c r="J18" i="11"/>
  <c r="J16" i="11"/>
  <c r="J10" i="11"/>
  <c r="J8" i="11"/>
  <c r="J9" i="11"/>
  <c r="J17" i="11"/>
  <c r="J25" i="11"/>
  <c r="J33" i="11"/>
  <c r="G38" i="11"/>
  <c r="J38" i="11" s="1"/>
  <c r="J24" i="11"/>
  <c r="J13" i="11"/>
  <c r="J21" i="11"/>
  <c r="J29" i="11"/>
  <c r="J7" i="11"/>
  <c r="J15" i="11"/>
  <c r="J23" i="11"/>
  <c r="J31" i="11"/>
  <c r="J12" i="11"/>
  <c r="J20" i="11"/>
  <c r="J28" i="11"/>
  <c r="J36" i="11"/>
  <c r="J14" i="11"/>
  <c r="J22" i="11"/>
  <c r="J30" i="11"/>
  <c r="J11" i="11"/>
  <c r="J19" i="11"/>
  <c r="J27" i="11"/>
  <c r="J35" i="11"/>
  <c r="J32" i="11"/>
  <c r="P32" i="10"/>
  <c r="P25" i="10"/>
  <c r="P20" i="10"/>
  <c r="P36" i="10"/>
  <c r="P16" i="10"/>
  <c r="P13" i="10"/>
  <c r="P10" i="10"/>
  <c r="P7" i="10"/>
  <c r="P34" i="10"/>
  <c r="P30" i="10"/>
  <c r="P28" i="10"/>
  <c r="P27" i="10"/>
  <c r="P26" i="10"/>
  <c r="P22" i="10"/>
  <c r="P21" i="10"/>
  <c r="P18" i="10"/>
  <c r="P15" i="10"/>
  <c r="P8" i="10"/>
  <c r="J18" i="10"/>
  <c r="J17" i="10"/>
  <c r="J25" i="10"/>
  <c r="G38" i="10"/>
  <c r="J38" i="10" s="1"/>
  <c r="J10" i="10"/>
  <c r="J26" i="10"/>
  <c r="J7" i="10"/>
  <c r="J15" i="10"/>
  <c r="J23" i="10"/>
  <c r="J31" i="10"/>
  <c r="J12" i="10"/>
  <c r="J20" i="10"/>
  <c r="J28" i="10"/>
  <c r="J36" i="10"/>
  <c r="J9" i="10"/>
  <c r="J14" i="10"/>
  <c r="J22" i="10"/>
  <c r="J30" i="10"/>
  <c r="J11" i="10"/>
  <c r="J19" i="10"/>
  <c r="J27" i="10"/>
  <c r="J35" i="10"/>
  <c r="J8" i="10"/>
  <c r="J16" i="10"/>
  <c r="J24" i="10"/>
  <c r="J32" i="10"/>
  <c r="J13" i="10"/>
  <c r="J21" i="10"/>
  <c r="J29" i="10"/>
  <c r="D16" i="12" l="1"/>
  <c r="D15" i="12"/>
  <c r="E38" i="9" l="1"/>
  <c r="I38" i="9" s="1"/>
  <c r="J37" i="9"/>
  <c r="O36" i="9"/>
  <c r="L36" i="9"/>
  <c r="M36" i="9" s="1"/>
  <c r="I36" i="9"/>
  <c r="F36" i="9"/>
  <c r="G36" i="9" s="1"/>
  <c r="O35" i="9"/>
  <c r="L35" i="9"/>
  <c r="M35" i="9" s="1"/>
  <c r="P35" i="9" s="1"/>
  <c r="I35" i="9"/>
  <c r="F35" i="9"/>
  <c r="G35" i="9" s="1"/>
  <c r="O34" i="9"/>
  <c r="L34" i="9"/>
  <c r="M34" i="9" s="1"/>
  <c r="I34" i="9"/>
  <c r="F34" i="9"/>
  <c r="G34" i="9" s="1"/>
  <c r="O33" i="9"/>
  <c r="L33" i="9"/>
  <c r="M33" i="9" s="1"/>
  <c r="P33" i="9" s="1"/>
  <c r="I33" i="9"/>
  <c r="F33" i="9"/>
  <c r="G33" i="9" s="1"/>
  <c r="O32" i="9"/>
  <c r="L32" i="9"/>
  <c r="M32" i="9" s="1"/>
  <c r="P32" i="9" s="1"/>
  <c r="I32" i="9"/>
  <c r="F32" i="9"/>
  <c r="G32" i="9" s="1"/>
  <c r="O31" i="9"/>
  <c r="L31" i="9"/>
  <c r="M31" i="9" s="1"/>
  <c r="P31" i="9" s="1"/>
  <c r="I31" i="9"/>
  <c r="F31" i="9"/>
  <c r="G31" i="9" s="1"/>
  <c r="O30" i="9"/>
  <c r="L30" i="9"/>
  <c r="M30" i="9" s="1"/>
  <c r="P30" i="9" s="1"/>
  <c r="I30" i="9"/>
  <c r="F30" i="9"/>
  <c r="G30" i="9" s="1"/>
  <c r="O29" i="9"/>
  <c r="L29" i="9"/>
  <c r="M29" i="9" s="1"/>
  <c r="I29" i="9"/>
  <c r="F29" i="9"/>
  <c r="G29" i="9" s="1"/>
  <c r="O28" i="9"/>
  <c r="L28" i="9"/>
  <c r="M28" i="9" s="1"/>
  <c r="I28" i="9"/>
  <c r="F28" i="9"/>
  <c r="G28" i="9" s="1"/>
  <c r="O27" i="9"/>
  <c r="L27" i="9"/>
  <c r="M27" i="9" s="1"/>
  <c r="P27" i="9" s="1"/>
  <c r="I27" i="9"/>
  <c r="F27" i="9"/>
  <c r="G27" i="9" s="1"/>
  <c r="O26" i="9"/>
  <c r="L26" i="9"/>
  <c r="M26" i="9" s="1"/>
  <c r="I26" i="9"/>
  <c r="F26" i="9"/>
  <c r="G26" i="9" s="1"/>
  <c r="O25" i="9"/>
  <c r="L25" i="9"/>
  <c r="M25" i="9" s="1"/>
  <c r="P25" i="9" s="1"/>
  <c r="I25" i="9"/>
  <c r="F25" i="9"/>
  <c r="G25" i="9" s="1"/>
  <c r="O24" i="9"/>
  <c r="L24" i="9"/>
  <c r="M24" i="9" s="1"/>
  <c r="P24" i="9" s="1"/>
  <c r="I24" i="9"/>
  <c r="F24" i="9"/>
  <c r="G24" i="9" s="1"/>
  <c r="O23" i="9"/>
  <c r="L23" i="9"/>
  <c r="M23" i="9" s="1"/>
  <c r="P23" i="9" s="1"/>
  <c r="I23" i="9"/>
  <c r="F23" i="9"/>
  <c r="G23" i="9" s="1"/>
  <c r="O22" i="9"/>
  <c r="L22" i="9"/>
  <c r="M22" i="9" s="1"/>
  <c r="I22" i="9"/>
  <c r="F22" i="9"/>
  <c r="G22" i="9" s="1"/>
  <c r="O21" i="9"/>
  <c r="L21" i="9"/>
  <c r="M21" i="9" s="1"/>
  <c r="P21" i="9" s="1"/>
  <c r="I21" i="9"/>
  <c r="F21" i="9"/>
  <c r="G21" i="9" s="1"/>
  <c r="O20" i="9"/>
  <c r="L20" i="9"/>
  <c r="M20" i="9" s="1"/>
  <c r="I20" i="9"/>
  <c r="F20" i="9"/>
  <c r="G20" i="9" s="1"/>
  <c r="O19" i="9"/>
  <c r="L19" i="9"/>
  <c r="M19" i="9" s="1"/>
  <c r="P19" i="9" s="1"/>
  <c r="I19" i="9"/>
  <c r="F19" i="9"/>
  <c r="G19" i="9" s="1"/>
  <c r="L18" i="9"/>
  <c r="M18" i="9" s="1"/>
  <c r="I18" i="9"/>
  <c r="F18" i="9"/>
  <c r="G18" i="9" s="1"/>
  <c r="O17" i="9"/>
  <c r="L17" i="9"/>
  <c r="M17" i="9" s="1"/>
  <c r="P17" i="9" s="1"/>
  <c r="I17" i="9"/>
  <c r="F17" i="9"/>
  <c r="G17" i="9" s="1"/>
  <c r="O16" i="9"/>
  <c r="L16" i="9"/>
  <c r="M16" i="9" s="1"/>
  <c r="F16" i="9"/>
  <c r="G16" i="9" s="1"/>
  <c r="L15" i="9"/>
  <c r="M15" i="9" s="1"/>
  <c r="I15" i="9"/>
  <c r="F15" i="9"/>
  <c r="G15" i="9" s="1"/>
  <c r="L14" i="9"/>
  <c r="M14" i="9" s="1"/>
  <c r="I14" i="9"/>
  <c r="F14" i="9"/>
  <c r="G14" i="9" s="1"/>
  <c r="O13" i="9"/>
  <c r="L13" i="9"/>
  <c r="M13" i="9" s="1"/>
  <c r="I13" i="9"/>
  <c r="F13" i="9"/>
  <c r="G13" i="9" s="1"/>
  <c r="O12" i="9"/>
  <c r="L12" i="9"/>
  <c r="M12" i="9" s="1"/>
  <c r="I12" i="9"/>
  <c r="F12" i="9"/>
  <c r="G12" i="9" s="1"/>
  <c r="O11" i="9"/>
  <c r="L11" i="9"/>
  <c r="M11" i="9" s="1"/>
  <c r="P11" i="9" s="1"/>
  <c r="I11" i="9"/>
  <c r="F11" i="9"/>
  <c r="G11" i="9" s="1"/>
  <c r="O10" i="9"/>
  <c r="L10" i="9"/>
  <c r="M10" i="9" s="1"/>
  <c r="I10" i="9"/>
  <c r="F10" i="9"/>
  <c r="G10" i="9" s="1"/>
  <c r="O9" i="9"/>
  <c r="L9" i="9"/>
  <c r="M9" i="9" s="1"/>
  <c r="P9" i="9" s="1"/>
  <c r="I9" i="9"/>
  <c r="F9" i="9"/>
  <c r="G9" i="9" s="1"/>
  <c r="O8" i="9"/>
  <c r="L8" i="9"/>
  <c r="M8" i="9" s="1"/>
  <c r="I8" i="9"/>
  <c r="F8" i="9"/>
  <c r="G8" i="9" s="1"/>
  <c r="O7" i="9"/>
  <c r="L7" i="9"/>
  <c r="M7" i="9" s="1"/>
  <c r="I7" i="9"/>
  <c r="F7" i="9"/>
  <c r="G7" i="9" s="1"/>
  <c r="O36" i="8"/>
  <c r="E38" i="8"/>
  <c r="I38" i="8" s="1"/>
  <c r="J37" i="8"/>
  <c r="L36" i="8"/>
  <c r="M36" i="8" s="1"/>
  <c r="I36" i="8"/>
  <c r="F36" i="8"/>
  <c r="G36" i="8" s="1"/>
  <c r="O35" i="8"/>
  <c r="L35" i="8"/>
  <c r="M35" i="8" s="1"/>
  <c r="P35" i="8" s="1"/>
  <c r="I35" i="8"/>
  <c r="F35" i="8"/>
  <c r="G35" i="8" s="1"/>
  <c r="O34" i="8"/>
  <c r="L34" i="8"/>
  <c r="M34" i="8" s="1"/>
  <c r="I34" i="8"/>
  <c r="F34" i="8"/>
  <c r="G34" i="8" s="1"/>
  <c r="O33" i="8"/>
  <c r="L33" i="8"/>
  <c r="M33" i="8" s="1"/>
  <c r="P33" i="8" s="1"/>
  <c r="I33" i="8"/>
  <c r="F33" i="8"/>
  <c r="G33" i="8" s="1"/>
  <c r="O32" i="8"/>
  <c r="L32" i="8"/>
  <c r="M32" i="8" s="1"/>
  <c r="I32" i="8"/>
  <c r="F32" i="8"/>
  <c r="G32" i="8" s="1"/>
  <c r="O31" i="8"/>
  <c r="L31" i="8"/>
  <c r="M31" i="8" s="1"/>
  <c r="I31" i="8"/>
  <c r="F31" i="8"/>
  <c r="G31" i="8" s="1"/>
  <c r="O30" i="8"/>
  <c r="L30" i="8"/>
  <c r="M30" i="8" s="1"/>
  <c r="I30" i="8"/>
  <c r="F30" i="8"/>
  <c r="G30" i="8" s="1"/>
  <c r="O29" i="8"/>
  <c r="L29" i="8"/>
  <c r="M29" i="8" s="1"/>
  <c r="P29" i="8" s="1"/>
  <c r="F29" i="8"/>
  <c r="G29" i="8" s="1"/>
  <c r="O28" i="8"/>
  <c r="L28" i="8"/>
  <c r="M28" i="8" s="1"/>
  <c r="I28" i="8"/>
  <c r="F28" i="8"/>
  <c r="G28" i="8" s="1"/>
  <c r="O27" i="8"/>
  <c r="L27" i="8"/>
  <c r="M27" i="8" s="1"/>
  <c r="P27" i="8" s="1"/>
  <c r="I27" i="8"/>
  <c r="F27" i="8"/>
  <c r="G27" i="8" s="1"/>
  <c r="O26" i="8"/>
  <c r="L26" i="8"/>
  <c r="M26" i="8" s="1"/>
  <c r="I26" i="8"/>
  <c r="F26" i="8"/>
  <c r="G26" i="8" s="1"/>
  <c r="O25" i="8"/>
  <c r="L25" i="8"/>
  <c r="M25" i="8" s="1"/>
  <c r="P25" i="8" s="1"/>
  <c r="I25" i="8"/>
  <c r="F25" i="8"/>
  <c r="G25" i="8" s="1"/>
  <c r="O24" i="8"/>
  <c r="L24" i="8"/>
  <c r="M24" i="8" s="1"/>
  <c r="P24" i="8" s="1"/>
  <c r="I24" i="8"/>
  <c r="F24" i="8"/>
  <c r="G24" i="8" s="1"/>
  <c r="O23" i="8"/>
  <c r="L23" i="8"/>
  <c r="M23" i="8" s="1"/>
  <c r="P23" i="8" s="1"/>
  <c r="I23" i="8"/>
  <c r="F23" i="8"/>
  <c r="G23" i="8" s="1"/>
  <c r="O22" i="8"/>
  <c r="L22" i="8"/>
  <c r="M22" i="8" s="1"/>
  <c r="I22" i="8"/>
  <c r="F22" i="8"/>
  <c r="G22" i="8" s="1"/>
  <c r="O21" i="8"/>
  <c r="L21" i="8"/>
  <c r="M21" i="8" s="1"/>
  <c r="P21" i="8" s="1"/>
  <c r="I21" i="8"/>
  <c r="F21" i="8"/>
  <c r="G21" i="8" s="1"/>
  <c r="O20" i="8"/>
  <c r="L20" i="8"/>
  <c r="M20" i="8" s="1"/>
  <c r="I20" i="8"/>
  <c r="F20" i="8"/>
  <c r="G20" i="8" s="1"/>
  <c r="O19" i="8"/>
  <c r="L19" i="8"/>
  <c r="M19" i="8" s="1"/>
  <c r="P19" i="8" s="1"/>
  <c r="I19" i="8"/>
  <c r="F19" i="8"/>
  <c r="G19" i="8" s="1"/>
  <c r="O18" i="8"/>
  <c r="L18" i="8"/>
  <c r="M18" i="8" s="1"/>
  <c r="I18" i="8"/>
  <c r="F18" i="8"/>
  <c r="G18" i="8" s="1"/>
  <c r="O17" i="8"/>
  <c r="L17" i="8"/>
  <c r="M17" i="8" s="1"/>
  <c r="P17" i="8" s="1"/>
  <c r="I17" i="8"/>
  <c r="F17" i="8"/>
  <c r="G17" i="8" s="1"/>
  <c r="O16" i="8"/>
  <c r="L16" i="8"/>
  <c r="M16" i="8" s="1"/>
  <c r="I16" i="8"/>
  <c r="F16" i="8"/>
  <c r="G16" i="8" s="1"/>
  <c r="O15" i="8"/>
  <c r="L15" i="8"/>
  <c r="M15" i="8" s="1"/>
  <c r="P15" i="8" s="1"/>
  <c r="F15" i="8"/>
  <c r="G15" i="8" s="1"/>
  <c r="O14" i="8"/>
  <c r="L14" i="8"/>
  <c r="M14" i="8" s="1"/>
  <c r="I14" i="8"/>
  <c r="F14" i="8"/>
  <c r="G14" i="8" s="1"/>
  <c r="O13" i="8"/>
  <c r="L13" i="8"/>
  <c r="M13" i="8" s="1"/>
  <c r="I13" i="8"/>
  <c r="F13" i="8"/>
  <c r="G13" i="8" s="1"/>
  <c r="O12" i="8"/>
  <c r="L12" i="8"/>
  <c r="M12" i="8" s="1"/>
  <c r="I12" i="8"/>
  <c r="F12" i="8"/>
  <c r="G12" i="8" s="1"/>
  <c r="O11" i="8"/>
  <c r="L11" i="8"/>
  <c r="M11" i="8" s="1"/>
  <c r="P11" i="8" s="1"/>
  <c r="I11" i="8"/>
  <c r="F11" i="8"/>
  <c r="G11" i="8" s="1"/>
  <c r="O10" i="8"/>
  <c r="L10" i="8"/>
  <c r="M10" i="8" s="1"/>
  <c r="I10" i="8"/>
  <c r="F10" i="8"/>
  <c r="G10" i="8" s="1"/>
  <c r="O9" i="8"/>
  <c r="L9" i="8"/>
  <c r="M9" i="8" s="1"/>
  <c r="P9" i="8" s="1"/>
  <c r="I9" i="8"/>
  <c r="F9" i="8"/>
  <c r="G9" i="8" s="1"/>
  <c r="O8" i="8"/>
  <c r="L8" i="8"/>
  <c r="M8" i="8" s="1"/>
  <c r="I8" i="8"/>
  <c r="F8" i="8"/>
  <c r="G8" i="8" s="1"/>
  <c r="O7" i="8"/>
  <c r="L7" i="8"/>
  <c r="M7" i="8" s="1"/>
  <c r="I7" i="8"/>
  <c r="F7" i="8"/>
  <c r="G7" i="8" s="1"/>
  <c r="O36" i="7"/>
  <c r="E38" i="7"/>
  <c r="I38" i="7" s="1"/>
  <c r="J37" i="7"/>
  <c r="L36" i="7"/>
  <c r="M36" i="7" s="1"/>
  <c r="I36" i="7"/>
  <c r="F36" i="7"/>
  <c r="G36" i="7" s="1"/>
  <c r="O35" i="7"/>
  <c r="L35" i="7"/>
  <c r="M35" i="7" s="1"/>
  <c r="P35" i="7" s="1"/>
  <c r="I35" i="7"/>
  <c r="F35" i="7"/>
  <c r="G35" i="7" s="1"/>
  <c r="O34" i="7"/>
  <c r="L34" i="7"/>
  <c r="M34" i="7" s="1"/>
  <c r="I34" i="7"/>
  <c r="F34" i="7"/>
  <c r="G34" i="7" s="1"/>
  <c r="O33" i="7"/>
  <c r="L33" i="7"/>
  <c r="M33" i="7" s="1"/>
  <c r="P33" i="7" s="1"/>
  <c r="I33" i="7"/>
  <c r="F33" i="7"/>
  <c r="G33" i="7" s="1"/>
  <c r="O32" i="7"/>
  <c r="L32" i="7"/>
  <c r="M32" i="7" s="1"/>
  <c r="I32" i="7"/>
  <c r="G32" i="7"/>
  <c r="F32" i="7"/>
  <c r="O31" i="7"/>
  <c r="L31" i="7"/>
  <c r="M31" i="7" s="1"/>
  <c r="I31" i="7"/>
  <c r="F31" i="7"/>
  <c r="G31" i="7" s="1"/>
  <c r="O30" i="7"/>
  <c r="L30" i="7"/>
  <c r="M30" i="7" s="1"/>
  <c r="P30" i="7" s="1"/>
  <c r="I30" i="7"/>
  <c r="F30" i="7"/>
  <c r="G30" i="7" s="1"/>
  <c r="O29" i="7"/>
  <c r="L29" i="7"/>
  <c r="M29" i="7" s="1"/>
  <c r="I29" i="7"/>
  <c r="F29" i="7"/>
  <c r="G29" i="7" s="1"/>
  <c r="O28" i="7"/>
  <c r="M28" i="7"/>
  <c r="L28" i="7"/>
  <c r="I28" i="7"/>
  <c r="G28" i="7"/>
  <c r="F28" i="7"/>
  <c r="O27" i="7"/>
  <c r="L27" i="7"/>
  <c r="M27" i="7" s="1"/>
  <c r="I27" i="7"/>
  <c r="F27" i="7"/>
  <c r="G27" i="7" s="1"/>
  <c r="O26" i="7"/>
  <c r="L26" i="7"/>
  <c r="M26" i="7" s="1"/>
  <c r="I26" i="7"/>
  <c r="F26" i="7"/>
  <c r="G26" i="7" s="1"/>
  <c r="O25" i="7"/>
  <c r="L25" i="7"/>
  <c r="M25" i="7" s="1"/>
  <c r="I25" i="7"/>
  <c r="F25" i="7"/>
  <c r="G25" i="7" s="1"/>
  <c r="O24" i="7"/>
  <c r="L24" i="7"/>
  <c r="M24" i="7" s="1"/>
  <c r="P24" i="7" s="1"/>
  <c r="I24" i="7"/>
  <c r="F24" i="7"/>
  <c r="G24" i="7" s="1"/>
  <c r="O23" i="7"/>
  <c r="M23" i="7"/>
  <c r="P23" i="7" s="1"/>
  <c r="L23" i="7"/>
  <c r="I23" i="7"/>
  <c r="F23" i="7"/>
  <c r="G23" i="7" s="1"/>
  <c r="O22" i="7"/>
  <c r="L22" i="7"/>
  <c r="M22" i="7" s="1"/>
  <c r="P22" i="7" s="1"/>
  <c r="I22" i="7"/>
  <c r="F22" i="7"/>
  <c r="G22" i="7" s="1"/>
  <c r="O21" i="7"/>
  <c r="L21" i="7"/>
  <c r="M21" i="7" s="1"/>
  <c r="P21" i="7" s="1"/>
  <c r="I21" i="7"/>
  <c r="F21" i="7"/>
  <c r="G21" i="7" s="1"/>
  <c r="O20" i="7"/>
  <c r="L20" i="7"/>
  <c r="M20" i="7" s="1"/>
  <c r="P20" i="7" s="1"/>
  <c r="I20" i="7"/>
  <c r="F20" i="7"/>
  <c r="G20" i="7" s="1"/>
  <c r="O19" i="7"/>
  <c r="L19" i="7"/>
  <c r="M19" i="7" s="1"/>
  <c r="P19" i="7" s="1"/>
  <c r="I19" i="7"/>
  <c r="F19" i="7"/>
  <c r="G19" i="7" s="1"/>
  <c r="O18" i="7"/>
  <c r="L18" i="7"/>
  <c r="M18" i="7" s="1"/>
  <c r="I18" i="7"/>
  <c r="F18" i="7"/>
  <c r="G18" i="7" s="1"/>
  <c r="O17" i="7"/>
  <c r="L17" i="7"/>
  <c r="M17" i="7" s="1"/>
  <c r="P17" i="7" s="1"/>
  <c r="I17" i="7"/>
  <c r="F17" i="7"/>
  <c r="G17" i="7" s="1"/>
  <c r="O16" i="7"/>
  <c r="L16" i="7"/>
  <c r="M16" i="7" s="1"/>
  <c r="I16" i="7"/>
  <c r="F16" i="7"/>
  <c r="G16" i="7" s="1"/>
  <c r="O15" i="7"/>
  <c r="M15" i="7"/>
  <c r="L15" i="7"/>
  <c r="I15" i="7"/>
  <c r="F15" i="7"/>
  <c r="G15" i="7" s="1"/>
  <c r="O14" i="7"/>
  <c r="L14" i="7"/>
  <c r="M14" i="7" s="1"/>
  <c r="I14" i="7"/>
  <c r="F14" i="7"/>
  <c r="G14" i="7" s="1"/>
  <c r="O13" i="7"/>
  <c r="L13" i="7"/>
  <c r="M13" i="7" s="1"/>
  <c r="P13" i="7" s="1"/>
  <c r="I13" i="7"/>
  <c r="F13" i="7"/>
  <c r="G13" i="7" s="1"/>
  <c r="O12" i="7"/>
  <c r="M12" i="7"/>
  <c r="L12" i="7"/>
  <c r="I12" i="7"/>
  <c r="F12" i="7"/>
  <c r="G12" i="7" s="1"/>
  <c r="O11" i="7"/>
  <c r="L11" i="7"/>
  <c r="M11" i="7" s="1"/>
  <c r="P11" i="7" s="1"/>
  <c r="I11" i="7"/>
  <c r="F11" i="7"/>
  <c r="G11" i="7" s="1"/>
  <c r="O10" i="7"/>
  <c r="L10" i="7"/>
  <c r="M10" i="7" s="1"/>
  <c r="I10" i="7"/>
  <c r="F10" i="7"/>
  <c r="G10" i="7" s="1"/>
  <c r="O9" i="7"/>
  <c r="L9" i="7"/>
  <c r="M9" i="7" s="1"/>
  <c r="P9" i="7" s="1"/>
  <c r="I9" i="7"/>
  <c r="F9" i="7"/>
  <c r="G9" i="7" s="1"/>
  <c r="O8" i="7"/>
  <c r="L8" i="7"/>
  <c r="M8" i="7" s="1"/>
  <c r="P8" i="7" s="1"/>
  <c r="I8" i="7"/>
  <c r="F8" i="7"/>
  <c r="G8" i="7" s="1"/>
  <c r="O7" i="7"/>
  <c r="L7" i="7"/>
  <c r="M7" i="7" s="1"/>
  <c r="P7" i="7" s="1"/>
  <c r="I7" i="7"/>
  <c r="F7" i="7"/>
  <c r="G7" i="7" s="1"/>
  <c r="E38" i="6"/>
  <c r="I38" i="6" s="1"/>
  <c r="J37" i="6"/>
  <c r="O36" i="6"/>
  <c r="L36" i="6"/>
  <c r="M36" i="6" s="1"/>
  <c r="I36" i="6"/>
  <c r="F36" i="6"/>
  <c r="G36" i="6" s="1"/>
  <c r="O35" i="6"/>
  <c r="L35" i="6"/>
  <c r="M35" i="6" s="1"/>
  <c r="P35" i="6" s="1"/>
  <c r="I35" i="6"/>
  <c r="F35" i="6"/>
  <c r="G35" i="6" s="1"/>
  <c r="O34" i="6"/>
  <c r="L34" i="6"/>
  <c r="M34" i="6" s="1"/>
  <c r="I34" i="6"/>
  <c r="F34" i="6"/>
  <c r="G34" i="6" s="1"/>
  <c r="O33" i="6"/>
  <c r="L33" i="6"/>
  <c r="M33" i="6" s="1"/>
  <c r="P33" i="6" s="1"/>
  <c r="I33" i="6"/>
  <c r="F33" i="6"/>
  <c r="G33" i="6" s="1"/>
  <c r="J33" i="6" s="1"/>
  <c r="O32" i="6"/>
  <c r="L32" i="6"/>
  <c r="M32" i="6" s="1"/>
  <c r="I32" i="6"/>
  <c r="F32" i="6"/>
  <c r="G32" i="6" s="1"/>
  <c r="O31" i="6"/>
  <c r="L31" i="6"/>
  <c r="M31" i="6" s="1"/>
  <c r="P31" i="6" s="1"/>
  <c r="I31" i="6"/>
  <c r="F31" i="6"/>
  <c r="G31" i="6" s="1"/>
  <c r="O30" i="6"/>
  <c r="L30" i="6"/>
  <c r="M30" i="6" s="1"/>
  <c r="I30" i="6"/>
  <c r="F30" i="6"/>
  <c r="G30" i="6" s="1"/>
  <c r="O29" i="6"/>
  <c r="M29" i="6"/>
  <c r="P29" i="6" s="1"/>
  <c r="L29" i="6"/>
  <c r="I29" i="6"/>
  <c r="F29" i="6"/>
  <c r="G29" i="6" s="1"/>
  <c r="O28" i="6"/>
  <c r="L28" i="6"/>
  <c r="M28" i="6" s="1"/>
  <c r="I28" i="6"/>
  <c r="F28" i="6"/>
  <c r="G28" i="6" s="1"/>
  <c r="O27" i="6"/>
  <c r="L27" i="6"/>
  <c r="M27" i="6" s="1"/>
  <c r="I27" i="6"/>
  <c r="F27" i="6"/>
  <c r="G27" i="6" s="1"/>
  <c r="O26" i="6"/>
  <c r="L26" i="6"/>
  <c r="M26" i="6" s="1"/>
  <c r="P26" i="6" s="1"/>
  <c r="I26" i="6"/>
  <c r="F26" i="6"/>
  <c r="G26" i="6" s="1"/>
  <c r="O25" i="6"/>
  <c r="L25" i="6"/>
  <c r="M25" i="6" s="1"/>
  <c r="I25" i="6"/>
  <c r="F25" i="6"/>
  <c r="G25" i="6" s="1"/>
  <c r="O24" i="6"/>
  <c r="L24" i="6"/>
  <c r="M24" i="6" s="1"/>
  <c r="P24" i="6" s="1"/>
  <c r="I24" i="6"/>
  <c r="F24" i="6"/>
  <c r="G24" i="6" s="1"/>
  <c r="O23" i="6"/>
  <c r="L23" i="6"/>
  <c r="M23" i="6" s="1"/>
  <c r="I23" i="6"/>
  <c r="F23" i="6"/>
  <c r="G23" i="6" s="1"/>
  <c r="O22" i="6"/>
  <c r="L22" i="6"/>
  <c r="M22" i="6" s="1"/>
  <c r="I22" i="6"/>
  <c r="F22" i="6"/>
  <c r="G22" i="6" s="1"/>
  <c r="O21" i="6"/>
  <c r="L21" i="6"/>
  <c r="M21" i="6" s="1"/>
  <c r="I21" i="6"/>
  <c r="F21" i="6"/>
  <c r="G21" i="6" s="1"/>
  <c r="O20" i="6"/>
  <c r="L20" i="6"/>
  <c r="M20" i="6" s="1"/>
  <c r="P20" i="6" s="1"/>
  <c r="I20" i="6"/>
  <c r="F20" i="6"/>
  <c r="G20" i="6" s="1"/>
  <c r="O19" i="6"/>
  <c r="L19" i="6"/>
  <c r="M19" i="6" s="1"/>
  <c r="I19" i="6"/>
  <c r="F19" i="6"/>
  <c r="G19" i="6" s="1"/>
  <c r="O18" i="6"/>
  <c r="L18" i="6"/>
  <c r="M18" i="6" s="1"/>
  <c r="P18" i="6" s="1"/>
  <c r="I18" i="6"/>
  <c r="F18" i="6"/>
  <c r="G18" i="6" s="1"/>
  <c r="O17" i="6"/>
  <c r="L17" i="6"/>
  <c r="M17" i="6" s="1"/>
  <c r="P17" i="6" s="1"/>
  <c r="I17" i="6"/>
  <c r="F17" i="6"/>
  <c r="G17" i="6" s="1"/>
  <c r="O16" i="6"/>
  <c r="L16" i="6"/>
  <c r="M16" i="6" s="1"/>
  <c r="P16" i="6" s="1"/>
  <c r="I16" i="6"/>
  <c r="F16" i="6"/>
  <c r="G16" i="6" s="1"/>
  <c r="O15" i="6"/>
  <c r="L15" i="6"/>
  <c r="M15" i="6" s="1"/>
  <c r="I15" i="6"/>
  <c r="F15" i="6"/>
  <c r="G15" i="6" s="1"/>
  <c r="O14" i="6"/>
  <c r="L14" i="6"/>
  <c r="M14" i="6" s="1"/>
  <c r="P14" i="6" s="1"/>
  <c r="I14" i="6"/>
  <c r="F14" i="6"/>
  <c r="G14" i="6" s="1"/>
  <c r="O13" i="6"/>
  <c r="L13" i="6"/>
  <c r="M13" i="6" s="1"/>
  <c r="P13" i="6" s="1"/>
  <c r="I13" i="6"/>
  <c r="F13" i="6"/>
  <c r="G13" i="6" s="1"/>
  <c r="O12" i="6"/>
  <c r="L12" i="6"/>
  <c r="M12" i="6" s="1"/>
  <c r="P12" i="6" s="1"/>
  <c r="I12" i="6"/>
  <c r="F12" i="6"/>
  <c r="G12" i="6" s="1"/>
  <c r="O11" i="6"/>
  <c r="L11" i="6"/>
  <c r="M11" i="6" s="1"/>
  <c r="P11" i="6" s="1"/>
  <c r="I11" i="6"/>
  <c r="F11" i="6"/>
  <c r="G11" i="6" s="1"/>
  <c r="O10" i="6"/>
  <c r="L10" i="6"/>
  <c r="M10" i="6" s="1"/>
  <c r="P10" i="6" s="1"/>
  <c r="I10" i="6"/>
  <c r="F10" i="6"/>
  <c r="G10" i="6" s="1"/>
  <c r="O9" i="6"/>
  <c r="L9" i="6"/>
  <c r="M9" i="6" s="1"/>
  <c r="P9" i="6" s="1"/>
  <c r="I9" i="6"/>
  <c r="F9" i="6"/>
  <c r="G9" i="6" s="1"/>
  <c r="O8" i="6"/>
  <c r="L8" i="6"/>
  <c r="M8" i="6" s="1"/>
  <c r="P8" i="6" s="1"/>
  <c r="I8" i="6"/>
  <c r="F8" i="6"/>
  <c r="G8" i="6" s="1"/>
  <c r="O7" i="6"/>
  <c r="L7" i="6"/>
  <c r="M7" i="6" s="1"/>
  <c r="P7" i="6" s="1"/>
  <c r="I7" i="6"/>
  <c r="F7" i="6"/>
  <c r="G7" i="6" s="1"/>
  <c r="I38" i="5"/>
  <c r="E38" i="5"/>
  <c r="J37" i="5"/>
  <c r="O36" i="5"/>
  <c r="L36" i="5"/>
  <c r="M36" i="5" s="1"/>
  <c r="P36" i="5" s="1"/>
  <c r="I36" i="5"/>
  <c r="F36" i="5"/>
  <c r="G36" i="5" s="1"/>
  <c r="O35" i="5"/>
  <c r="L35" i="5"/>
  <c r="M35" i="5" s="1"/>
  <c r="P35" i="5" s="1"/>
  <c r="I35" i="5"/>
  <c r="G35" i="5"/>
  <c r="F35" i="5"/>
  <c r="O34" i="5"/>
  <c r="L34" i="5"/>
  <c r="M34" i="5" s="1"/>
  <c r="P34" i="5" s="1"/>
  <c r="I34" i="5"/>
  <c r="F34" i="5"/>
  <c r="G34" i="5" s="1"/>
  <c r="O33" i="5"/>
  <c r="L33" i="5"/>
  <c r="M33" i="5" s="1"/>
  <c r="P33" i="5" s="1"/>
  <c r="I33" i="5"/>
  <c r="G33" i="5"/>
  <c r="F33" i="5"/>
  <c r="O32" i="5"/>
  <c r="L32" i="5"/>
  <c r="M32" i="5" s="1"/>
  <c r="P32" i="5" s="1"/>
  <c r="I32" i="5"/>
  <c r="F32" i="5"/>
  <c r="G32" i="5" s="1"/>
  <c r="O31" i="5"/>
  <c r="L31" i="5"/>
  <c r="M31" i="5" s="1"/>
  <c r="P31" i="5" s="1"/>
  <c r="I31" i="5"/>
  <c r="F31" i="5"/>
  <c r="G31" i="5" s="1"/>
  <c r="O30" i="5"/>
  <c r="L30" i="5"/>
  <c r="M30" i="5" s="1"/>
  <c r="P30" i="5" s="1"/>
  <c r="I30" i="5"/>
  <c r="F30" i="5"/>
  <c r="G30" i="5" s="1"/>
  <c r="O29" i="5"/>
  <c r="L29" i="5"/>
  <c r="M29" i="5" s="1"/>
  <c r="P29" i="5" s="1"/>
  <c r="I29" i="5"/>
  <c r="F29" i="5"/>
  <c r="G29" i="5" s="1"/>
  <c r="O28" i="5"/>
  <c r="L28" i="5"/>
  <c r="M28" i="5" s="1"/>
  <c r="P28" i="5" s="1"/>
  <c r="I28" i="5"/>
  <c r="F28" i="5"/>
  <c r="G28" i="5" s="1"/>
  <c r="O27" i="5"/>
  <c r="L27" i="5"/>
  <c r="M27" i="5" s="1"/>
  <c r="P27" i="5" s="1"/>
  <c r="I27" i="5"/>
  <c r="G27" i="5"/>
  <c r="F27" i="5"/>
  <c r="O26" i="5"/>
  <c r="L26" i="5"/>
  <c r="M26" i="5" s="1"/>
  <c r="P26" i="5" s="1"/>
  <c r="I26" i="5"/>
  <c r="F26" i="5"/>
  <c r="G26" i="5" s="1"/>
  <c r="O25" i="5"/>
  <c r="L25" i="5"/>
  <c r="M25" i="5" s="1"/>
  <c r="P25" i="5" s="1"/>
  <c r="I25" i="5"/>
  <c r="G25" i="5"/>
  <c r="F25" i="5"/>
  <c r="O24" i="5"/>
  <c r="L24" i="5"/>
  <c r="M24" i="5" s="1"/>
  <c r="P24" i="5" s="1"/>
  <c r="I24" i="5"/>
  <c r="F24" i="5"/>
  <c r="G24" i="5" s="1"/>
  <c r="O23" i="5"/>
  <c r="L23" i="5"/>
  <c r="M23" i="5" s="1"/>
  <c r="P23" i="5" s="1"/>
  <c r="I23" i="5"/>
  <c r="F23" i="5"/>
  <c r="G23" i="5" s="1"/>
  <c r="O22" i="5"/>
  <c r="L22" i="5"/>
  <c r="M22" i="5" s="1"/>
  <c r="P22" i="5" s="1"/>
  <c r="I22" i="5"/>
  <c r="F22" i="5"/>
  <c r="G22" i="5" s="1"/>
  <c r="O21" i="5"/>
  <c r="L21" i="5"/>
  <c r="M21" i="5" s="1"/>
  <c r="P21" i="5" s="1"/>
  <c r="I21" i="5"/>
  <c r="F21" i="5"/>
  <c r="G21" i="5" s="1"/>
  <c r="O20" i="5"/>
  <c r="L20" i="5"/>
  <c r="M20" i="5" s="1"/>
  <c r="P20" i="5" s="1"/>
  <c r="I20" i="5"/>
  <c r="F20" i="5"/>
  <c r="G20" i="5" s="1"/>
  <c r="O19" i="5"/>
  <c r="L19" i="5"/>
  <c r="M19" i="5" s="1"/>
  <c r="P19" i="5" s="1"/>
  <c r="I19" i="5"/>
  <c r="G19" i="5"/>
  <c r="F19" i="5"/>
  <c r="O18" i="5"/>
  <c r="L18" i="5"/>
  <c r="M18" i="5" s="1"/>
  <c r="P18" i="5" s="1"/>
  <c r="I18" i="5"/>
  <c r="F18" i="5"/>
  <c r="G18" i="5" s="1"/>
  <c r="O17" i="5"/>
  <c r="L17" i="5"/>
  <c r="M17" i="5" s="1"/>
  <c r="P17" i="5" s="1"/>
  <c r="I17" i="5"/>
  <c r="G17" i="5"/>
  <c r="F17" i="5"/>
  <c r="O16" i="5"/>
  <c r="L16" i="5"/>
  <c r="M16" i="5" s="1"/>
  <c r="P16" i="5" s="1"/>
  <c r="I16" i="5"/>
  <c r="F16" i="5"/>
  <c r="G16" i="5" s="1"/>
  <c r="O15" i="5"/>
  <c r="L15" i="5"/>
  <c r="M15" i="5" s="1"/>
  <c r="P15" i="5" s="1"/>
  <c r="I15" i="5"/>
  <c r="F15" i="5"/>
  <c r="G15" i="5" s="1"/>
  <c r="O14" i="5"/>
  <c r="L14" i="5"/>
  <c r="M14" i="5" s="1"/>
  <c r="P14" i="5" s="1"/>
  <c r="I14" i="5"/>
  <c r="F14" i="5"/>
  <c r="G14" i="5" s="1"/>
  <c r="O13" i="5"/>
  <c r="L13" i="5"/>
  <c r="M13" i="5" s="1"/>
  <c r="P13" i="5" s="1"/>
  <c r="I13" i="5"/>
  <c r="F13" i="5"/>
  <c r="G13" i="5" s="1"/>
  <c r="O12" i="5"/>
  <c r="L12" i="5"/>
  <c r="M12" i="5" s="1"/>
  <c r="P12" i="5" s="1"/>
  <c r="I12" i="5"/>
  <c r="F12" i="5"/>
  <c r="G12" i="5" s="1"/>
  <c r="O11" i="5"/>
  <c r="L11" i="5"/>
  <c r="M11" i="5" s="1"/>
  <c r="P11" i="5" s="1"/>
  <c r="I11" i="5"/>
  <c r="G11" i="5"/>
  <c r="F11" i="5"/>
  <c r="O10" i="5"/>
  <c r="L10" i="5"/>
  <c r="M10" i="5" s="1"/>
  <c r="P10" i="5" s="1"/>
  <c r="I10" i="5"/>
  <c r="F10" i="5"/>
  <c r="G10" i="5" s="1"/>
  <c r="O9" i="5"/>
  <c r="L9" i="5"/>
  <c r="M9" i="5" s="1"/>
  <c r="P9" i="5" s="1"/>
  <c r="I9" i="5"/>
  <c r="G9" i="5"/>
  <c r="F9" i="5"/>
  <c r="O8" i="5"/>
  <c r="L8" i="5"/>
  <c r="M8" i="5" s="1"/>
  <c r="P8" i="5" s="1"/>
  <c r="I8" i="5"/>
  <c r="F8" i="5"/>
  <c r="G8" i="5" s="1"/>
  <c r="O7" i="5"/>
  <c r="L7" i="5"/>
  <c r="M7" i="5" s="1"/>
  <c r="P7" i="5" s="1"/>
  <c r="I7" i="5"/>
  <c r="F7" i="5"/>
  <c r="G7" i="5" s="1"/>
  <c r="I38" i="4"/>
  <c r="E38" i="4"/>
  <c r="J37" i="4"/>
  <c r="O36" i="4"/>
  <c r="L36" i="4"/>
  <c r="M36" i="4" s="1"/>
  <c r="I36" i="4"/>
  <c r="F36" i="4"/>
  <c r="G36" i="4" s="1"/>
  <c r="O35" i="4"/>
  <c r="L35" i="4"/>
  <c r="M35" i="4" s="1"/>
  <c r="I35" i="4"/>
  <c r="F35" i="4"/>
  <c r="G35" i="4" s="1"/>
  <c r="O34" i="4"/>
  <c r="L34" i="4"/>
  <c r="M34" i="4" s="1"/>
  <c r="I34" i="4"/>
  <c r="F34" i="4"/>
  <c r="G34" i="4" s="1"/>
  <c r="O33" i="4"/>
  <c r="L33" i="4"/>
  <c r="M33" i="4" s="1"/>
  <c r="I33" i="4"/>
  <c r="F33" i="4"/>
  <c r="G33" i="4" s="1"/>
  <c r="O32" i="4"/>
  <c r="L32" i="4"/>
  <c r="M32" i="4" s="1"/>
  <c r="I32" i="4"/>
  <c r="F32" i="4"/>
  <c r="G32" i="4" s="1"/>
  <c r="O31" i="4"/>
  <c r="L31" i="4"/>
  <c r="M31" i="4" s="1"/>
  <c r="I31" i="4"/>
  <c r="F31" i="4"/>
  <c r="G31" i="4" s="1"/>
  <c r="O30" i="4"/>
  <c r="L30" i="4"/>
  <c r="M30" i="4" s="1"/>
  <c r="I30" i="4"/>
  <c r="F30" i="4"/>
  <c r="G30" i="4" s="1"/>
  <c r="O29" i="4"/>
  <c r="L29" i="4"/>
  <c r="M29" i="4" s="1"/>
  <c r="I29" i="4"/>
  <c r="F29" i="4"/>
  <c r="G29" i="4" s="1"/>
  <c r="O28" i="4"/>
  <c r="L28" i="4"/>
  <c r="M28" i="4" s="1"/>
  <c r="I28" i="4"/>
  <c r="F28" i="4"/>
  <c r="G28" i="4" s="1"/>
  <c r="O27" i="4"/>
  <c r="L27" i="4"/>
  <c r="M27" i="4" s="1"/>
  <c r="I27" i="4"/>
  <c r="F27" i="4"/>
  <c r="G27" i="4" s="1"/>
  <c r="O26" i="4"/>
  <c r="L26" i="4"/>
  <c r="M26" i="4" s="1"/>
  <c r="I26" i="4"/>
  <c r="F26" i="4"/>
  <c r="G26" i="4" s="1"/>
  <c r="O25" i="4"/>
  <c r="L25" i="4"/>
  <c r="M25" i="4" s="1"/>
  <c r="I25" i="4"/>
  <c r="F25" i="4"/>
  <c r="G25" i="4" s="1"/>
  <c r="O24" i="4"/>
  <c r="L24" i="4"/>
  <c r="M24" i="4" s="1"/>
  <c r="I24" i="4"/>
  <c r="F24" i="4"/>
  <c r="G24" i="4" s="1"/>
  <c r="O23" i="4"/>
  <c r="L23" i="4"/>
  <c r="M23" i="4" s="1"/>
  <c r="I23" i="4"/>
  <c r="F23" i="4"/>
  <c r="G23" i="4" s="1"/>
  <c r="O22" i="4"/>
  <c r="L22" i="4"/>
  <c r="M22" i="4" s="1"/>
  <c r="I22" i="4"/>
  <c r="F22" i="4"/>
  <c r="G22" i="4" s="1"/>
  <c r="O21" i="4"/>
  <c r="L21" i="4"/>
  <c r="M21" i="4" s="1"/>
  <c r="I21" i="4"/>
  <c r="F21" i="4"/>
  <c r="G21" i="4" s="1"/>
  <c r="O20" i="4"/>
  <c r="L20" i="4"/>
  <c r="M20" i="4" s="1"/>
  <c r="I20" i="4"/>
  <c r="F20" i="4"/>
  <c r="G20" i="4" s="1"/>
  <c r="O19" i="4"/>
  <c r="L19" i="4"/>
  <c r="M19" i="4" s="1"/>
  <c r="I19" i="4"/>
  <c r="F19" i="4"/>
  <c r="G19" i="4" s="1"/>
  <c r="O18" i="4"/>
  <c r="L18" i="4"/>
  <c r="M18" i="4" s="1"/>
  <c r="P18" i="4" s="1"/>
  <c r="I18" i="4"/>
  <c r="F18" i="4"/>
  <c r="G18" i="4" s="1"/>
  <c r="O17" i="4"/>
  <c r="L17" i="4"/>
  <c r="M17" i="4" s="1"/>
  <c r="I17" i="4"/>
  <c r="F17" i="4"/>
  <c r="G17" i="4" s="1"/>
  <c r="O16" i="4"/>
  <c r="L16" i="4"/>
  <c r="M16" i="4" s="1"/>
  <c r="P16" i="4" s="1"/>
  <c r="I16" i="4"/>
  <c r="F16" i="4"/>
  <c r="G16" i="4" s="1"/>
  <c r="O15" i="4"/>
  <c r="L15" i="4"/>
  <c r="M15" i="4" s="1"/>
  <c r="I15" i="4"/>
  <c r="F15" i="4"/>
  <c r="G15" i="4" s="1"/>
  <c r="O14" i="4"/>
  <c r="L14" i="4"/>
  <c r="M14" i="4" s="1"/>
  <c r="P14" i="4" s="1"/>
  <c r="I14" i="4"/>
  <c r="F14" i="4"/>
  <c r="G14" i="4" s="1"/>
  <c r="O13" i="4"/>
  <c r="L13" i="4"/>
  <c r="M13" i="4" s="1"/>
  <c r="I13" i="4"/>
  <c r="F13" i="4"/>
  <c r="G13" i="4" s="1"/>
  <c r="O12" i="4"/>
  <c r="L12" i="4"/>
  <c r="M12" i="4" s="1"/>
  <c r="P12" i="4" s="1"/>
  <c r="I12" i="4"/>
  <c r="F12" i="4"/>
  <c r="G12" i="4" s="1"/>
  <c r="O11" i="4"/>
  <c r="L11" i="4"/>
  <c r="M11" i="4" s="1"/>
  <c r="I11" i="4"/>
  <c r="F11" i="4"/>
  <c r="G11" i="4" s="1"/>
  <c r="O10" i="4"/>
  <c r="L10" i="4"/>
  <c r="M10" i="4" s="1"/>
  <c r="P10" i="4" s="1"/>
  <c r="I10" i="4"/>
  <c r="F10" i="4"/>
  <c r="G10" i="4" s="1"/>
  <c r="O9" i="4"/>
  <c r="L9" i="4"/>
  <c r="M9" i="4" s="1"/>
  <c r="I9" i="4"/>
  <c r="F9" i="4"/>
  <c r="G9" i="4" s="1"/>
  <c r="O8" i="4"/>
  <c r="L8" i="4"/>
  <c r="M8" i="4" s="1"/>
  <c r="P8" i="4" s="1"/>
  <c r="I8" i="4"/>
  <c r="F8" i="4"/>
  <c r="G8" i="4" s="1"/>
  <c r="G38" i="4" s="1"/>
  <c r="O7" i="4"/>
  <c r="L7" i="4"/>
  <c r="M7" i="4" s="1"/>
  <c r="I7" i="4"/>
  <c r="F7" i="4"/>
  <c r="G7" i="4" s="1"/>
  <c r="P27" i="3"/>
  <c r="P28" i="3"/>
  <c r="P29" i="3"/>
  <c r="P30" i="3"/>
  <c r="P31" i="3"/>
  <c r="P32" i="3"/>
  <c r="P33" i="3"/>
  <c r="P34" i="3"/>
  <c r="P35" i="3"/>
  <c r="P36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7" i="3"/>
  <c r="M36" i="3"/>
  <c r="N36" i="3" s="1"/>
  <c r="Q36" i="3" s="1"/>
  <c r="M35" i="3"/>
  <c r="N35" i="3" s="1"/>
  <c r="Q35" i="3" s="1"/>
  <c r="M34" i="3"/>
  <c r="N34" i="3" s="1"/>
  <c r="Q34" i="3" s="1"/>
  <c r="M33" i="3"/>
  <c r="N33" i="3" s="1"/>
  <c r="Q33" i="3" s="1"/>
  <c r="M32" i="3"/>
  <c r="N32" i="3" s="1"/>
  <c r="Q32" i="3" s="1"/>
  <c r="M31" i="3"/>
  <c r="N31" i="3" s="1"/>
  <c r="Q31" i="3" s="1"/>
  <c r="M30" i="3"/>
  <c r="N30" i="3" s="1"/>
  <c r="Q30" i="3" s="1"/>
  <c r="M29" i="3"/>
  <c r="N29" i="3" s="1"/>
  <c r="Q29" i="3" s="1"/>
  <c r="M28" i="3"/>
  <c r="N28" i="3" s="1"/>
  <c r="Q28" i="3" s="1"/>
  <c r="M27" i="3"/>
  <c r="N27" i="3" s="1"/>
  <c r="Q27" i="3" s="1"/>
  <c r="M26" i="3"/>
  <c r="N26" i="3" s="1"/>
  <c r="Q26" i="3" s="1"/>
  <c r="M25" i="3"/>
  <c r="N25" i="3" s="1"/>
  <c r="Q25" i="3" s="1"/>
  <c r="M24" i="3"/>
  <c r="N24" i="3" s="1"/>
  <c r="Q24" i="3" s="1"/>
  <c r="M23" i="3"/>
  <c r="N23" i="3" s="1"/>
  <c r="Q23" i="3" s="1"/>
  <c r="M22" i="3"/>
  <c r="N22" i="3" s="1"/>
  <c r="Q22" i="3" s="1"/>
  <c r="M21" i="3"/>
  <c r="N21" i="3" s="1"/>
  <c r="Q21" i="3" s="1"/>
  <c r="M20" i="3"/>
  <c r="N20" i="3" s="1"/>
  <c r="Q20" i="3" s="1"/>
  <c r="M19" i="3"/>
  <c r="N19" i="3" s="1"/>
  <c r="Q19" i="3" s="1"/>
  <c r="M18" i="3"/>
  <c r="N18" i="3" s="1"/>
  <c r="Q18" i="3" s="1"/>
  <c r="M17" i="3"/>
  <c r="N17" i="3" s="1"/>
  <c r="Q17" i="3" s="1"/>
  <c r="M16" i="3"/>
  <c r="N16" i="3" s="1"/>
  <c r="Q16" i="3" s="1"/>
  <c r="M15" i="3"/>
  <c r="N15" i="3" s="1"/>
  <c r="Q15" i="3" s="1"/>
  <c r="M14" i="3"/>
  <c r="N14" i="3" s="1"/>
  <c r="Q14" i="3" s="1"/>
  <c r="M13" i="3"/>
  <c r="N13" i="3" s="1"/>
  <c r="Q13" i="3" s="1"/>
  <c r="M12" i="3"/>
  <c r="N12" i="3" s="1"/>
  <c r="Q12" i="3" s="1"/>
  <c r="M11" i="3"/>
  <c r="N11" i="3" s="1"/>
  <c r="Q11" i="3" s="1"/>
  <c r="M10" i="3"/>
  <c r="N10" i="3" s="1"/>
  <c r="Q10" i="3" s="1"/>
  <c r="M9" i="3"/>
  <c r="N9" i="3" s="1"/>
  <c r="Q9" i="3" s="1"/>
  <c r="M8" i="3"/>
  <c r="N8" i="3" s="1"/>
  <c r="Q8" i="3" s="1"/>
  <c r="M7" i="3"/>
  <c r="N7" i="3" s="1"/>
  <c r="Q7" i="3" s="1"/>
  <c r="K37" i="3"/>
  <c r="E38" i="3"/>
  <c r="J31" i="3"/>
  <c r="J32" i="3"/>
  <c r="J33" i="3"/>
  <c r="J34" i="3"/>
  <c r="J35" i="3"/>
  <c r="J36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7" i="3"/>
  <c r="J8" i="3"/>
  <c r="I38" i="3"/>
  <c r="F36" i="3"/>
  <c r="H36" i="3" s="1"/>
  <c r="F35" i="3"/>
  <c r="H35" i="3" s="1"/>
  <c r="K35" i="3" s="1"/>
  <c r="F34" i="3"/>
  <c r="H34" i="3" s="1"/>
  <c r="K34" i="3" s="1"/>
  <c r="F33" i="3"/>
  <c r="H33" i="3" s="1"/>
  <c r="F32" i="3"/>
  <c r="F31" i="3"/>
  <c r="H31" i="3" s="1"/>
  <c r="F30" i="3"/>
  <c r="H30" i="3" s="1"/>
  <c r="H29" i="3"/>
  <c r="F28" i="3"/>
  <c r="H28" i="3" s="1"/>
  <c r="K28" i="3" s="1"/>
  <c r="F27" i="3"/>
  <c r="H27" i="3" s="1"/>
  <c r="K27" i="3" s="1"/>
  <c r="F26" i="3"/>
  <c r="H26" i="3" s="1"/>
  <c r="F25" i="3"/>
  <c r="H25" i="3" s="1"/>
  <c r="F24" i="3"/>
  <c r="F23" i="3"/>
  <c r="H23" i="3" s="1"/>
  <c r="F22" i="3"/>
  <c r="H22" i="3" s="1"/>
  <c r="F21" i="3"/>
  <c r="H21" i="3" s="1"/>
  <c r="K21" i="3" s="1"/>
  <c r="F20" i="3"/>
  <c r="H20" i="3" s="1"/>
  <c r="F19" i="3"/>
  <c r="H19" i="3" s="1"/>
  <c r="F18" i="3"/>
  <c r="H18" i="3" s="1"/>
  <c r="F17" i="3"/>
  <c r="H17" i="3" s="1"/>
  <c r="F16" i="3"/>
  <c r="F15" i="3"/>
  <c r="H15" i="3" s="1"/>
  <c r="F14" i="3"/>
  <c r="H14" i="3" s="1"/>
  <c r="F13" i="3"/>
  <c r="H13" i="3" s="1"/>
  <c r="F12" i="3"/>
  <c r="H12" i="3" s="1"/>
  <c r="F11" i="3"/>
  <c r="H11" i="3" s="1"/>
  <c r="K11" i="3" s="1"/>
  <c r="F10" i="3"/>
  <c r="H10" i="3" s="1"/>
  <c r="F9" i="3"/>
  <c r="H9" i="3" s="1"/>
  <c r="F8" i="3"/>
  <c r="F7" i="3"/>
  <c r="H7" i="3" s="1"/>
  <c r="H32" i="3"/>
  <c r="H24" i="3"/>
  <c r="H16" i="3"/>
  <c r="H8" i="3"/>
  <c r="H11" i="12" l="1"/>
  <c r="I11" i="12"/>
  <c r="P11" i="12"/>
  <c r="K13" i="3"/>
  <c r="F11" i="12"/>
  <c r="J11" i="12"/>
  <c r="L11" i="12"/>
  <c r="N11" i="12"/>
  <c r="K19" i="3"/>
  <c r="O11" i="12"/>
  <c r="K31" i="3"/>
  <c r="K11" i="12"/>
  <c r="M11" i="12"/>
  <c r="G11" i="12"/>
  <c r="P13" i="8"/>
  <c r="P13" i="9"/>
  <c r="P34" i="9"/>
  <c r="P29" i="9"/>
  <c r="P28" i="9"/>
  <c r="P26" i="9"/>
  <c r="P22" i="9"/>
  <c r="P20" i="9"/>
  <c r="P12" i="9"/>
  <c r="P10" i="9"/>
  <c r="P7" i="9"/>
  <c r="P36" i="9"/>
  <c r="P18" i="9"/>
  <c r="P16" i="9"/>
  <c r="P15" i="9"/>
  <c r="P14" i="9"/>
  <c r="P8" i="9"/>
  <c r="G38" i="9"/>
  <c r="J38" i="9" s="1"/>
  <c r="J8" i="9"/>
  <c r="J10" i="9"/>
  <c r="J12" i="9"/>
  <c r="J14" i="9"/>
  <c r="J16" i="9"/>
  <c r="J18" i="9"/>
  <c r="J20" i="9"/>
  <c r="J22" i="9"/>
  <c r="J24" i="9"/>
  <c r="J26" i="9"/>
  <c r="J28" i="9"/>
  <c r="J30" i="9"/>
  <c r="J32" i="9"/>
  <c r="J34" i="9"/>
  <c r="J36" i="9"/>
  <c r="J7" i="9"/>
  <c r="J9" i="9"/>
  <c r="J11" i="9"/>
  <c r="J13" i="9"/>
  <c r="J15" i="9"/>
  <c r="J17" i="9"/>
  <c r="J19" i="9"/>
  <c r="J21" i="9"/>
  <c r="J23" i="9"/>
  <c r="J25" i="9"/>
  <c r="J27" i="9"/>
  <c r="J29" i="9"/>
  <c r="J31" i="9"/>
  <c r="J33" i="9"/>
  <c r="J35" i="9"/>
  <c r="P36" i="8"/>
  <c r="P31" i="8"/>
  <c r="P30" i="8"/>
  <c r="P28" i="8"/>
  <c r="P22" i="8"/>
  <c r="P20" i="8"/>
  <c r="P14" i="8"/>
  <c r="P12" i="8"/>
  <c r="P8" i="8"/>
  <c r="P7" i="8"/>
  <c r="P34" i="8"/>
  <c r="P32" i="8"/>
  <c r="P26" i="8"/>
  <c r="P18" i="8"/>
  <c r="P16" i="8"/>
  <c r="P10" i="8"/>
  <c r="J8" i="8"/>
  <c r="J10" i="8"/>
  <c r="J12" i="8"/>
  <c r="J14" i="8"/>
  <c r="J16" i="8"/>
  <c r="J18" i="8"/>
  <c r="J20" i="8"/>
  <c r="J22" i="8"/>
  <c r="J24" i="8"/>
  <c r="J26" i="8"/>
  <c r="J28" i="8"/>
  <c r="J30" i="8"/>
  <c r="J32" i="8"/>
  <c r="J34" i="8"/>
  <c r="J36" i="8"/>
  <c r="G38" i="8"/>
  <c r="J38" i="8" s="1"/>
  <c r="J19" i="8"/>
  <c r="J21" i="8"/>
  <c r="J23" i="8"/>
  <c r="J25" i="8"/>
  <c r="J27" i="8"/>
  <c r="J29" i="8"/>
  <c r="J31" i="8"/>
  <c r="J33" i="8"/>
  <c r="J7" i="8"/>
  <c r="J9" i="8"/>
  <c r="J11" i="8"/>
  <c r="J13" i="8"/>
  <c r="J15" i="8"/>
  <c r="J17" i="8"/>
  <c r="J35" i="8"/>
  <c r="P36" i="7"/>
  <c r="P34" i="7"/>
  <c r="P32" i="7"/>
  <c r="P31" i="7"/>
  <c r="P28" i="7"/>
  <c r="P26" i="7"/>
  <c r="P18" i="7"/>
  <c r="P15" i="7"/>
  <c r="P14" i="7"/>
  <c r="P12" i="7"/>
  <c r="P29" i="7"/>
  <c r="P27" i="7"/>
  <c r="P25" i="7"/>
  <c r="P16" i="7"/>
  <c r="P10" i="7"/>
  <c r="P30" i="6"/>
  <c r="P28" i="6"/>
  <c r="P22" i="6"/>
  <c r="P19" i="6"/>
  <c r="P15" i="6"/>
  <c r="P36" i="6"/>
  <c r="P34" i="6"/>
  <c r="P32" i="6"/>
  <c r="J14" i="6"/>
  <c r="J12" i="6"/>
  <c r="J7" i="6"/>
  <c r="J13" i="6"/>
  <c r="J11" i="6"/>
  <c r="J9" i="6"/>
  <c r="P21" i="6"/>
  <c r="P23" i="6"/>
  <c r="P25" i="6"/>
  <c r="P27" i="6"/>
  <c r="J17" i="6"/>
  <c r="J19" i="6"/>
  <c r="J21" i="6"/>
  <c r="J23" i="6"/>
  <c r="J25" i="6"/>
  <c r="J27" i="6"/>
  <c r="J29" i="6"/>
  <c r="J35" i="6"/>
  <c r="J16" i="6"/>
  <c r="J18" i="6"/>
  <c r="J22" i="6"/>
  <c r="J24" i="6"/>
  <c r="J26" i="6"/>
  <c r="J30" i="6"/>
  <c r="J32" i="6"/>
  <c r="J34" i="6"/>
  <c r="J36" i="6"/>
  <c r="J31" i="6"/>
  <c r="J28" i="6"/>
  <c r="J20" i="6"/>
  <c r="J15" i="6"/>
  <c r="J10" i="6"/>
  <c r="J16" i="7"/>
  <c r="J28" i="7"/>
  <c r="J8" i="7"/>
  <c r="J24" i="7"/>
  <c r="J7" i="7"/>
  <c r="J11" i="7"/>
  <c r="J15" i="7"/>
  <c r="J19" i="7"/>
  <c r="J23" i="7"/>
  <c r="J27" i="7"/>
  <c r="J31" i="7"/>
  <c r="J35" i="7"/>
  <c r="J12" i="7"/>
  <c r="J20" i="7"/>
  <c r="J32" i="7"/>
  <c r="J10" i="7"/>
  <c r="J14" i="7"/>
  <c r="J18" i="7"/>
  <c r="J22" i="7"/>
  <c r="J26" i="7"/>
  <c r="J30" i="7"/>
  <c r="J34" i="7"/>
  <c r="J21" i="7"/>
  <c r="J9" i="7"/>
  <c r="J17" i="7"/>
  <c r="G38" i="7"/>
  <c r="J38" i="7" s="1"/>
  <c r="J36" i="7"/>
  <c r="J13" i="7"/>
  <c r="J25" i="7"/>
  <c r="J29" i="7"/>
  <c r="J33" i="7"/>
  <c r="J22" i="5"/>
  <c r="J19" i="5"/>
  <c r="J24" i="5"/>
  <c r="J32" i="5"/>
  <c r="J21" i="5"/>
  <c r="J10" i="5"/>
  <c r="J18" i="5"/>
  <c r="J26" i="5"/>
  <c r="J34" i="5"/>
  <c r="G38" i="5"/>
  <c r="J38" i="5" s="1"/>
  <c r="J11" i="5"/>
  <c r="J35" i="5"/>
  <c r="J8" i="5"/>
  <c r="J13" i="5"/>
  <c r="J29" i="5"/>
  <c r="J7" i="5"/>
  <c r="J15" i="5"/>
  <c r="J23" i="5"/>
  <c r="J31" i="5"/>
  <c r="J36" i="5"/>
  <c r="J14" i="5"/>
  <c r="J30" i="5"/>
  <c r="J27" i="5"/>
  <c r="J16" i="5"/>
  <c r="J12" i="5"/>
  <c r="J20" i="5"/>
  <c r="J28" i="5"/>
  <c r="J9" i="5"/>
  <c r="J17" i="5"/>
  <c r="J25" i="5"/>
  <c r="J33" i="5"/>
  <c r="J26" i="4"/>
  <c r="J28" i="4"/>
  <c r="J30" i="4"/>
  <c r="J32" i="4"/>
  <c r="J34" i="4"/>
  <c r="J36" i="4"/>
  <c r="J8" i="6"/>
  <c r="G38" i="6"/>
  <c r="J38" i="6" s="1"/>
  <c r="P20" i="4"/>
  <c r="P22" i="4"/>
  <c r="P24" i="4"/>
  <c r="P26" i="4"/>
  <c r="P28" i="4"/>
  <c r="P30" i="4"/>
  <c r="P32" i="4"/>
  <c r="P34" i="4"/>
  <c r="P36" i="4"/>
  <c r="P7" i="4"/>
  <c r="P9" i="4"/>
  <c r="P11" i="4"/>
  <c r="P13" i="4"/>
  <c r="P15" i="4"/>
  <c r="P17" i="4"/>
  <c r="P19" i="4"/>
  <c r="P21" i="4"/>
  <c r="P23" i="4"/>
  <c r="P25" i="4"/>
  <c r="P27" i="4"/>
  <c r="P29" i="4"/>
  <c r="P31" i="4"/>
  <c r="P33" i="4"/>
  <c r="P35" i="4"/>
  <c r="J10" i="4"/>
  <c r="J24" i="4"/>
  <c r="J20" i="4"/>
  <c r="J12" i="4"/>
  <c r="J22" i="4"/>
  <c r="J14" i="4"/>
  <c r="J18" i="4"/>
  <c r="J7" i="4"/>
  <c r="J9" i="4"/>
  <c r="J11" i="4"/>
  <c r="J13" i="4"/>
  <c r="J15" i="4"/>
  <c r="J17" i="4"/>
  <c r="J19" i="4"/>
  <c r="J21" i="4"/>
  <c r="J23" i="4"/>
  <c r="J25" i="4"/>
  <c r="J27" i="4"/>
  <c r="J29" i="4"/>
  <c r="J31" i="4"/>
  <c r="J33" i="4"/>
  <c r="J35" i="4"/>
  <c r="J8" i="4"/>
  <c r="J16" i="4"/>
  <c r="J38" i="4"/>
  <c r="K18" i="3"/>
  <c r="K12" i="3"/>
  <c r="K26" i="3"/>
  <c r="K24" i="3"/>
  <c r="K20" i="3"/>
  <c r="K10" i="3"/>
  <c r="K7" i="3"/>
  <c r="K25" i="3"/>
  <c r="K8" i="3"/>
  <c r="K16" i="3"/>
  <c r="K15" i="3"/>
  <c r="K17" i="3"/>
  <c r="K9" i="3"/>
  <c r="K36" i="3"/>
  <c r="K30" i="3"/>
  <c r="K22" i="3"/>
  <c r="K14" i="3"/>
  <c r="K29" i="3"/>
  <c r="K33" i="3"/>
  <c r="K32" i="3"/>
  <c r="K23" i="3"/>
  <c r="J38" i="3"/>
  <c r="H38" i="3"/>
  <c r="K38" i="3" l="1"/>
</calcChain>
</file>

<file path=xl/sharedStrings.xml><?xml version="1.0" encoding="utf-8"?>
<sst xmlns="http://schemas.openxmlformats.org/spreadsheetml/2006/main" count="1119" uniqueCount="118">
  <si>
    <t>REF URL</t>
  </si>
  <si>
    <t>Decription</t>
  </si>
  <si>
    <t>Value</t>
  </si>
  <si>
    <t>https://www.census.gov/quickfacts/fact/table/TN/PST045222</t>
  </si>
  <si>
    <t>TN Population in 2022</t>
  </si>
  <si>
    <t>Crimes Against Children</t>
  </si>
  <si>
    <t xml:space="preserve">Data Breach </t>
  </si>
  <si>
    <t>Unit</t>
  </si>
  <si>
    <t>Population Estimate</t>
  </si>
  <si>
    <t>Extortion</t>
  </si>
  <si>
    <t>Malware</t>
  </si>
  <si>
    <t>Personal Data Breach</t>
  </si>
  <si>
    <t>Phishing</t>
  </si>
  <si>
    <t>Ransomware</t>
  </si>
  <si>
    <t>Spoofing</t>
  </si>
  <si>
    <t>Threats of Violence</t>
  </si>
  <si>
    <t>Raw Value</t>
  </si>
  <si>
    <t>Value/State Population</t>
  </si>
  <si>
    <t>Chattanooga Population in 2022</t>
  </si>
  <si>
    <t>https://www.census.gov/quickfacts/chattanoogacitytennessee</t>
  </si>
  <si>
    <t>(Victim Count/State Population ) * City Population</t>
  </si>
  <si>
    <t>Estimated In-City Victims, 2022, As if IC3 Victim Complaint</t>
  </si>
  <si>
    <t>State Victim Count</t>
  </si>
  <si>
    <t>https://www.ic3.gov/Media/PDF/AnnualReport/2022State/StateReport.aspx#?s=47</t>
  </si>
  <si>
    <t>Business Email Compromise</t>
  </si>
  <si>
    <t>State Victim Loss</t>
  </si>
  <si>
    <t>Advanced Fee</t>
  </si>
  <si>
    <t>Botnet</t>
  </si>
  <si>
    <t>Confidence/Romance</t>
  </si>
  <si>
    <t>Check Fraud</t>
  </si>
  <si>
    <t>Employment</t>
  </si>
  <si>
    <t>Government Impersonation</t>
  </si>
  <si>
    <t>Harassing/Stalking</t>
  </si>
  <si>
    <t>IPR/Counterfeit</t>
  </si>
  <si>
    <t>Identity Theft</t>
  </si>
  <si>
    <t>Investment</t>
  </si>
  <si>
    <t>Lottery/Sweepstakes/Inheritance</t>
  </si>
  <si>
    <t>NCDF</t>
  </si>
  <si>
    <t>NTOC</t>
  </si>
  <si>
    <t>No Lead Value</t>
  </si>
  <si>
    <t>Non-Payable/Non-Delivery</t>
  </si>
  <si>
    <t>Other</t>
  </si>
  <si>
    <t>Overpayment</t>
  </si>
  <si>
    <t>Real Estate</t>
  </si>
  <si>
    <t>SIM Swap</t>
  </si>
  <si>
    <t>Tech Support</t>
  </si>
  <si>
    <t>Even Loss per State Victim Count</t>
  </si>
  <si>
    <t>Projected In-City Victim Loss</t>
  </si>
  <si>
    <t>Estimated In-City Victims * Even Loss per State Victim</t>
  </si>
  <si>
    <t>State Subject (Perpetrator) Count</t>
  </si>
  <si>
    <t>State Subject Losses (Perpetrator gained X dollars)</t>
  </si>
  <si>
    <t>Subject (Perpetrator) to State Population</t>
  </si>
  <si>
    <t>Estimated Subject to City Population</t>
  </si>
  <si>
    <t xml:space="preserve">Estimated In-City Subject Losses (Perpetrator Take from Victim) </t>
  </si>
  <si>
    <t>Even Loss per State Subject</t>
  </si>
  <si>
    <t>Subject to City * Even Loss per State Subject</t>
  </si>
  <si>
    <t>TN Population in 2021</t>
  </si>
  <si>
    <t>Chattanooga Population in 2021</t>
  </si>
  <si>
    <t>TN Population in 20</t>
  </si>
  <si>
    <t>Chattanooga Population in 20</t>
  </si>
  <si>
    <t>https://www.census.gov/data/tables/time-series/demo/popest/2020s-total-cities-and-towns.html</t>
  </si>
  <si>
    <t>https://www2.census.gov/programs-surveys/popest/datasets/2020-2022/state/totals/NST-EST2022-POPCHG2020_2022.csv</t>
  </si>
  <si>
    <t>TN Population in 2020</t>
  </si>
  <si>
    <t>Chattanooga Population in 2020</t>
  </si>
  <si>
    <t>NO MATCH</t>
  </si>
  <si>
    <t xml:space="preserve">Some category names changed from 2022 to 2021.  </t>
  </si>
  <si>
    <t>If the names didn't line up with the later year, I dropped the data.</t>
  </si>
  <si>
    <t xml:space="preserve">A zero value on the input means 0; </t>
  </si>
  <si>
    <t>Trying to establish figures of confidence intervals.</t>
  </si>
  <si>
    <t>https://www.ic3.gov/Media/PDF/AnnualReport/2021State/StateReport.aspx#?s=47</t>
  </si>
  <si>
    <t>https://www.ic3.gov/Media/PDF/AnnualReport/2020State/StateReport.aspx#?s=47</t>
  </si>
  <si>
    <t xml:space="preserve">$287,277	</t>
  </si>
  <si>
    <t xml:space="preserve">$301,501	</t>
  </si>
  <si>
    <t>Reported harassment and threats of violence together</t>
  </si>
  <si>
    <t>Put the value under threats of violence</t>
  </si>
  <si>
    <t>Looking at these numbers on local losses,</t>
  </si>
  <si>
    <t xml:space="preserve">It seems that in order to make millions, </t>
  </si>
  <si>
    <t>cybercriminals might have to work globally.</t>
  </si>
  <si>
    <t>Chattanooga Population in 2019</t>
  </si>
  <si>
    <t>TN Population in 2019</t>
  </si>
  <si>
    <t>https://www.ic3.gov/Media/PDF/AnnualReport/2019State/StateReport.aspx#?s=47</t>
  </si>
  <si>
    <t>https://www2.census.gov/programs-surveys/popest/tables/2010-2019/state/totals/nst-est2019-01.xlsx</t>
  </si>
  <si>
    <t>https://www2.census.gov/programs-surveys/popest/tables/2010-2019/cities/totals/SUB-IP-EST2019-ANNRES-47.xlsx</t>
  </si>
  <si>
    <t>Stalking/Harassment and Threats of violence were combined with Terrorism</t>
  </si>
  <si>
    <t>Shown here as Threats of Violence, as with others.</t>
  </si>
  <si>
    <t>https://www.ic3.gov/Media/PDF/AnnualReport/2018State/StateReport.aspx#?s=47</t>
  </si>
  <si>
    <t>Harassment/Stalking/Threats of Violence/Terrorism combined</t>
  </si>
  <si>
    <t>TN Population in 2017</t>
  </si>
  <si>
    <t>Chattanooga Population in 2017</t>
  </si>
  <si>
    <t>https://www.ic3.gov/Media/PDF/AnnualReport/2017State/StateReport.aspx#?s=47</t>
  </si>
  <si>
    <t>Chattanooga Population in 2018</t>
  </si>
  <si>
    <t>TN Population in 2018</t>
  </si>
  <si>
    <t>Harassment, Stalking, Threats of Violence and Terrorism all combined</t>
  </si>
  <si>
    <t>Had 2 Terrorism this year</t>
  </si>
  <si>
    <t>TN Population in 2016</t>
  </si>
  <si>
    <t>Chattanooga Population in 2016</t>
  </si>
  <si>
    <t>https://www.ic3.gov/Media/PDF/AnnualReport/2016State/StateReport.aspx#?s=47</t>
  </si>
  <si>
    <t>Malware + Virus</t>
  </si>
  <si>
    <t>Year</t>
  </si>
  <si>
    <t>City Population</t>
  </si>
  <si>
    <t>Crimes</t>
  </si>
  <si>
    <t>System Intrusion Group</t>
  </si>
  <si>
    <t>Data Breach</t>
  </si>
  <si>
    <t>Threat to Personnel via Network</t>
  </si>
  <si>
    <t>Threats/Stalking/Harassment/Terrorism</t>
  </si>
  <si>
    <t>Theft of Data via Network</t>
  </si>
  <si>
    <t>Identify Theft</t>
  </si>
  <si>
    <t>BEC</t>
  </si>
  <si>
    <t>Column1</t>
  </si>
  <si>
    <t>Column2</t>
  </si>
  <si>
    <t>Column3</t>
  </si>
  <si>
    <t>State IC3 Data</t>
  </si>
  <si>
    <t>Average deviation</t>
  </si>
  <si>
    <t>Projected population</t>
  </si>
  <si>
    <t>Projected population High</t>
  </si>
  <si>
    <t>Projected poplulation Low</t>
  </si>
  <si>
    <t>Chance of decrease</t>
  </si>
  <si>
    <t>(Victim Count/State Population ) * City Population Rounded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</si>
</sst>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0000000000000000000000000000"/>
    <numFmt numFmtId="165" formatCode="0.00000000000000000000"/>
    <numFmt numFmtId="166" formatCode="&quot;$&quot;#,##0.00"/>
    <numFmt numFmtId="167" formatCode="&quot;$&quot;#,##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44" fontId="0" fillId="0" borderId="0" xfId="0" applyNumberFormat="1"/>
    <xf numFmtId="6" fontId="0" fillId="0" borderId="0" xfId="0" applyNumberFormat="1" applyAlignment="1">
      <alignment vertical="center" wrapText="1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167" fontId="0" fillId="0" borderId="0" xfId="0" applyNumberFormat="1"/>
    <xf numFmtId="167" fontId="0" fillId="0" borderId="0" xfId="0" applyNumberFormat="1" applyAlignment="1">
      <alignment vertical="center" wrapText="1"/>
    </xf>
    <xf numFmtId="0" fontId="2" fillId="0" borderId="0" xfId="1"/>
    <xf numFmtId="3" fontId="0" fillId="0" borderId="1" xfId="0" applyNumberFormat="1" applyBorder="1" applyAlignment="1" applyProtection="1">
      <alignment horizontal="right"/>
      <protection locked="0"/>
    </xf>
    <xf numFmtId="164" fontId="2" fillId="0" borderId="0" xfId="1" applyNumberFormat="1"/>
    <xf numFmtId="3" fontId="3" fillId="0" borderId="1" xfId="0" applyNumberFormat="1" applyFont="1" applyBorder="1" applyAlignment="1" applyProtection="1">
      <alignment horizontal="right"/>
      <protection locked="0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Graphs'!$I$4</c:f>
              <c:strCache>
                <c:ptCount val="1"/>
                <c:pt idx="0">
                  <c:v>Personal Data Breach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Graphs'!$I$5:$I$11</c:f>
              <c:numCache>
                <c:formatCode>#,##0</c:formatCode>
                <c:ptCount val="7"/>
                <c:pt idx="0">
                  <c:v>429</c:v>
                </c:pt>
                <c:pt idx="1">
                  <c:v>490</c:v>
                </c:pt>
                <c:pt idx="2">
                  <c:v>697</c:v>
                </c:pt>
                <c:pt idx="3">
                  <c:v>507</c:v>
                </c:pt>
                <c:pt idx="4">
                  <c:v>714</c:v>
                </c:pt>
                <c:pt idx="5">
                  <c:v>742</c:v>
                </c:pt>
                <c:pt idx="6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F-45CB-9867-05D5A59FB0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7766848"/>
        <c:axId val="968305248"/>
      </c:lineChart>
      <c:catAx>
        <c:axId val="1777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05248"/>
        <c:crosses val="autoZero"/>
        <c:auto val="1"/>
        <c:lblAlgn val="ctr"/>
        <c:lblOffset val="100"/>
        <c:noMultiLvlLbl val="0"/>
      </c:catAx>
      <c:valAx>
        <c:axId val="96830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77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Graphs'!$J$4</c:f>
              <c:strCache>
                <c:ptCount val="1"/>
                <c:pt idx="0">
                  <c:v>Malware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Graphs'!$J$5:$J$11</c:f>
              <c:numCache>
                <c:formatCode>#,##0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23</c:v>
                </c:pt>
                <c:pt idx="3">
                  <c:v>46</c:v>
                </c:pt>
                <c:pt idx="4">
                  <c:v>18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A-40E0-B085-91174CDCA3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96353552"/>
        <c:axId val="1053719088"/>
      </c:lineChart>
      <c:catAx>
        <c:axId val="5963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19088"/>
        <c:crosses val="autoZero"/>
        <c:auto val="1"/>
        <c:lblAlgn val="ctr"/>
        <c:lblOffset val="100"/>
        <c:noMultiLvlLbl val="0"/>
      </c:catAx>
      <c:valAx>
        <c:axId val="10537190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963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Graphs'!$K$4</c:f>
              <c:strCache>
                <c:ptCount val="1"/>
                <c:pt idx="0">
                  <c:v>Phishing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Graphs'!$K$5:$K$11</c:f>
              <c:numCache>
                <c:formatCode>#,##0</c:formatCode>
                <c:ptCount val="7"/>
                <c:pt idx="0">
                  <c:v>298</c:v>
                </c:pt>
                <c:pt idx="1">
                  <c:v>347</c:v>
                </c:pt>
                <c:pt idx="2">
                  <c:v>311</c:v>
                </c:pt>
                <c:pt idx="3">
                  <c:v>310</c:v>
                </c:pt>
                <c:pt idx="4">
                  <c:v>379</c:v>
                </c:pt>
                <c:pt idx="5">
                  <c:v>438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2-4733-9FEE-8087B3DDB6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6120496"/>
        <c:axId val="1084323936"/>
      </c:lineChart>
      <c:catAx>
        <c:axId val="6061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23936"/>
        <c:crosses val="autoZero"/>
        <c:auto val="1"/>
        <c:lblAlgn val="ctr"/>
        <c:lblOffset val="100"/>
        <c:noMultiLvlLbl val="0"/>
      </c:catAx>
      <c:valAx>
        <c:axId val="10843239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061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Graphs'!$L$4</c:f>
              <c:strCache>
                <c:ptCount val="1"/>
                <c:pt idx="0">
                  <c:v>Ransomware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Graphs'!$L$5:$L$11</c:f>
              <c:numCache>
                <c:formatCode>#,##0</c:formatCode>
                <c:ptCount val="7"/>
                <c:pt idx="0">
                  <c:v>49</c:v>
                </c:pt>
                <c:pt idx="1">
                  <c:v>33</c:v>
                </c:pt>
                <c:pt idx="2">
                  <c:v>20</c:v>
                </c:pt>
                <c:pt idx="3">
                  <c:v>34</c:v>
                </c:pt>
                <c:pt idx="4">
                  <c:v>34</c:v>
                </c:pt>
                <c:pt idx="5">
                  <c:v>47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8-4BD7-96E9-F7240573F8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38076656"/>
        <c:axId val="1089729840"/>
      </c:lineChart>
      <c:catAx>
        <c:axId val="938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29840"/>
        <c:crosses val="autoZero"/>
        <c:auto val="1"/>
        <c:lblAlgn val="ctr"/>
        <c:lblOffset val="100"/>
        <c:noMultiLvlLbl val="0"/>
      </c:catAx>
      <c:valAx>
        <c:axId val="10897298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380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Intrusion</a:t>
            </a:r>
            <a:r>
              <a:rPr lang="en-US" baseline="0"/>
              <a:t> Crime Group State IC3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Graphs'!$H$4</c:f>
              <c:strCache>
                <c:ptCount val="1"/>
                <c:pt idx="0">
                  <c:v>Data Breach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Graphs'!$H$5:$H$11</c:f>
              <c:numCache>
                <c:formatCode>#,##0</c:formatCode>
                <c:ptCount val="7"/>
                <c:pt idx="0">
                  <c:v>53</c:v>
                </c:pt>
                <c:pt idx="1">
                  <c:v>53</c:v>
                </c:pt>
                <c:pt idx="2">
                  <c:v>28</c:v>
                </c:pt>
                <c:pt idx="3">
                  <c:v>21</c:v>
                </c:pt>
                <c:pt idx="4">
                  <c:v>29</c:v>
                </c:pt>
                <c:pt idx="5">
                  <c:v>21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85-45B4-BAF3-C24E8EC76A22}"/>
            </c:ext>
          </c:extLst>
        </c:ser>
        <c:ser>
          <c:idx val="1"/>
          <c:order val="1"/>
          <c:tx>
            <c:strRef>
              <c:f>'State Summary Graphs'!$I$4</c:f>
              <c:strCache>
                <c:ptCount val="1"/>
                <c:pt idx="0">
                  <c:v>Personal Data Breach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Graphs'!$I$5:$I$11</c:f>
              <c:numCache>
                <c:formatCode>#,##0</c:formatCode>
                <c:ptCount val="7"/>
                <c:pt idx="0">
                  <c:v>429</c:v>
                </c:pt>
                <c:pt idx="1">
                  <c:v>490</c:v>
                </c:pt>
                <c:pt idx="2">
                  <c:v>697</c:v>
                </c:pt>
                <c:pt idx="3">
                  <c:v>507</c:v>
                </c:pt>
                <c:pt idx="4">
                  <c:v>714</c:v>
                </c:pt>
                <c:pt idx="5">
                  <c:v>742</c:v>
                </c:pt>
                <c:pt idx="6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85-45B4-BAF3-C24E8EC76A22}"/>
            </c:ext>
          </c:extLst>
        </c:ser>
        <c:ser>
          <c:idx val="2"/>
          <c:order val="2"/>
          <c:tx>
            <c:strRef>
              <c:f>'State Summary Graphs'!$J$4</c:f>
              <c:strCache>
                <c:ptCount val="1"/>
                <c:pt idx="0">
                  <c:v>Malware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Graphs'!$J$5:$J$11</c:f>
              <c:numCache>
                <c:formatCode>#,##0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23</c:v>
                </c:pt>
                <c:pt idx="3">
                  <c:v>46</c:v>
                </c:pt>
                <c:pt idx="4">
                  <c:v>18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85-45B4-BAF3-C24E8EC76A22}"/>
            </c:ext>
          </c:extLst>
        </c:ser>
        <c:ser>
          <c:idx val="3"/>
          <c:order val="3"/>
          <c:tx>
            <c:strRef>
              <c:f>'State Summary Graphs'!$K$4</c:f>
              <c:strCache>
                <c:ptCount val="1"/>
                <c:pt idx="0">
                  <c:v>Phishing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Graphs'!$K$5:$K$11</c:f>
              <c:numCache>
                <c:formatCode>#,##0</c:formatCode>
                <c:ptCount val="7"/>
                <c:pt idx="0">
                  <c:v>298</c:v>
                </c:pt>
                <c:pt idx="1">
                  <c:v>347</c:v>
                </c:pt>
                <c:pt idx="2">
                  <c:v>311</c:v>
                </c:pt>
                <c:pt idx="3">
                  <c:v>310</c:v>
                </c:pt>
                <c:pt idx="4">
                  <c:v>379</c:v>
                </c:pt>
                <c:pt idx="5">
                  <c:v>438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85-45B4-BAF3-C24E8EC76A22}"/>
            </c:ext>
          </c:extLst>
        </c:ser>
        <c:ser>
          <c:idx val="4"/>
          <c:order val="4"/>
          <c:tx>
            <c:strRef>
              <c:f>'State Summary Graphs'!$L$4</c:f>
              <c:strCache>
                <c:ptCount val="1"/>
                <c:pt idx="0">
                  <c:v>Ransomware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Graphs'!$L$5:$L$11</c:f>
              <c:numCache>
                <c:formatCode>#,##0</c:formatCode>
                <c:ptCount val="7"/>
                <c:pt idx="0">
                  <c:v>49</c:v>
                </c:pt>
                <c:pt idx="1">
                  <c:v>33</c:v>
                </c:pt>
                <c:pt idx="2">
                  <c:v>20</c:v>
                </c:pt>
                <c:pt idx="3">
                  <c:v>34</c:v>
                </c:pt>
                <c:pt idx="4">
                  <c:v>34</c:v>
                </c:pt>
                <c:pt idx="5">
                  <c:v>47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85-45B4-BAF3-C24E8EC76A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9287856"/>
        <c:axId val="1084320464"/>
      </c:lineChart>
      <c:catAx>
        <c:axId val="62928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20464"/>
        <c:crosses val="autoZero"/>
        <c:auto val="1"/>
        <c:lblAlgn val="ctr"/>
        <c:lblOffset val="100"/>
        <c:noMultiLvlLbl val="0"/>
      </c:catAx>
      <c:valAx>
        <c:axId val="1084320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292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13</xdr:row>
      <xdr:rowOff>125730</xdr:rowOff>
    </xdr:from>
    <xdr:to>
      <xdr:col>8</xdr:col>
      <xdr:colOff>845820</xdr:colOff>
      <xdr:row>28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537D5-114E-CD00-E184-16C5CBA80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205740</xdr:colOff>
      <xdr:row>13</xdr:row>
      <xdr:rowOff>125730</xdr:rowOff>
    </xdr:from>
    <xdr:to>
      <xdr:col>14</xdr:col>
      <xdr:colOff>899160</xdr:colOff>
      <xdr:row>28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6DBF0-76D4-8573-197C-C78FEA506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289560</xdr:colOff>
      <xdr:row>29</xdr:row>
      <xdr:rowOff>163830</xdr:rowOff>
    </xdr:from>
    <xdr:to>
      <xdr:col>8</xdr:col>
      <xdr:colOff>853440</xdr:colOff>
      <xdr:row>44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A8AA1-7994-7732-F620-4FEF6DC63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198120</xdr:colOff>
      <xdr:row>30</xdr:row>
      <xdr:rowOff>19050</xdr:rowOff>
    </xdr:from>
    <xdr:to>
      <xdr:col>14</xdr:col>
      <xdr:colOff>922020</xdr:colOff>
      <xdr:row>45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0563A2-DAD7-5106-533C-64B75CD6D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243840</xdr:colOff>
      <xdr:row>46</xdr:row>
      <xdr:rowOff>34290</xdr:rowOff>
    </xdr:from>
    <xdr:to>
      <xdr:col>12</xdr:col>
      <xdr:colOff>342900</xdr:colOff>
      <xdr:row>71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4099F6-E12D-0A5E-B06D-70438D76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D31F2-CEC9-4B23-AC8B-F2976B12A1A4}" name="Table1" displayName="Table1" ref="B4:R11" totalsRowShown="0">
  <autoFilter ref="B4:R11" xr:uid="{88CD31F2-CEC9-4B23-AC8B-F2976B12A1A4}"/>
  <sortState xmlns:xlrd2="http://schemas.microsoft.com/office/spreadsheetml/2017/richdata2" ref="B5:R11">
    <sortCondition ref="B4:B11"/>
  </sortState>
  <tableColumns count="17">
    <tableColumn id="1" xr3:uid="{14C994A4-8D79-4786-BA91-A2946038278C}" name="Year"/>
    <tableColumn id="2" xr3:uid="{ED4EA81A-5169-4C2F-A9A0-5C766F683720}" name="City Population" dataDxfId="11"/>
    <tableColumn id="3" xr3:uid="{7D044D7F-F0B8-4BC3-A77C-F7FB551C4A94}" name="Column1"/>
    <tableColumn id="4" xr3:uid="{BE56F40D-46E1-4A69-BF2A-9B77E3A7151F}" name="Column2"/>
    <tableColumn id="5" xr3:uid="{516A7762-D1DF-492C-861F-0F66A90A7DA4}" name="Column3"/>
    <tableColumn id="6" xr3:uid="{4A021364-869A-4B22-919A-B84882604398}" name="Crimes"/>
    <tableColumn id="7" xr3:uid="{28B95DCC-6FFA-40F2-9BFC-ACA28475DF60}" name="Data Breach" dataDxfId="10"/>
    <tableColumn id="8" xr3:uid="{BB65D9F8-8D1C-459D-9C3E-68F143A870F3}" name="Personal Data Breach" dataDxfId="9"/>
    <tableColumn id="9" xr3:uid="{8E0FA05F-DCBA-4D4E-B9AE-83A033E47862}" name="Malware" dataDxfId="8"/>
    <tableColumn id="10" xr3:uid="{A41AD209-FC7D-4D93-98C0-A8114CC43E64}" name="Phishing" dataDxfId="7"/>
    <tableColumn id="11" xr3:uid="{6CE861E7-E7CA-4419-9419-CBF2E89011EF}" name="Ransomware" dataDxfId="6"/>
    <tableColumn id="12" xr3:uid="{F582A736-F2DE-4871-9444-A157F02B0A3C}" name="Crimes Against Children" dataDxfId="5"/>
    <tableColumn id="13" xr3:uid="{C59C5AF2-0E81-47E8-A89A-D1BCCE4F47CD}" name="Extortion" dataDxfId="4"/>
    <tableColumn id="14" xr3:uid="{D52C7F69-BCA6-4643-91F2-5B3D5087428C}" name="Threats/Stalking/Harassment/Terrorism" dataDxfId="3"/>
    <tableColumn id="15" xr3:uid="{75E8BA91-8B63-4EBD-BF82-F81FA957BF97}" name="IPR/Counterfeit" dataDxfId="2"/>
    <tableColumn id="16" xr3:uid="{1D54B76C-0DC5-46B2-863D-C8DBDFBB868A}" name="Identify Theft" dataDxfId="1"/>
    <tableColumn id="17" xr3:uid="{930D3B8B-B14E-42B2-BC7D-9959110E1D85}" name="BEC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c3.gov/Media/PDF/AnnualReport/2016State/StateReport.aspx" TargetMode="External"/><Relationship Id="rId1" Type="http://schemas.openxmlformats.org/officeDocument/2006/relationships/hyperlink" Target="https://www.ic3.gov/Media/PDF/AnnualReport/2016State/StateReport.asp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ic3.gov/Media/PDF/AnnualReport/2017State/StateReport.aspx" TargetMode="External"/><Relationship Id="rId1" Type="http://schemas.openxmlformats.org/officeDocument/2006/relationships/hyperlink" Target="https://www.ic3.gov/Media/PDF/AnnualReport/2017State/StateReport.asp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ic3.gov/Media/PDF/AnnualReport/2018State/StateReport.aspx" TargetMode="External"/><Relationship Id="rId1" Type="http://schemas.openxmlformats.org/officeDocument/2006/relationships/hyperlink" Target="https://www.ic3.gov/Media/PDF/AnnualReport/2018State/StateReport.asp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2.census.gov/programs-surveys/popest/tables/2010-2019/state/totals/nst-est2019-01.xlsx" TargetMode="External"/><Relationship Id="rId2" Type="http://schemas.openxmlformats.org/officeDocument/2006/relationships/hyperlink" Target="https://www.ic3.gov/Media/PDF/AnnualReport/2019State/StateReport.aspx" TargetMode="External"/><Relationship Id="rId1" Type="http://schemas.openxmlformats.org/officeDocument/2006/relationships/hyperlink" Target="https://www.ic3.gov/Media/PDF/AnnualReport/2019State/StateReport.aspx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2.census.gov/programs-surveys/popest/tables/2010-2019/cities/totals/SUB-IP-EST2019-ANNRES-47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3.gov/Media/PDF/AnnualReport/2020State/StateReport.aspx" TargetMode="External"/><Relationship Id="rId2" Type="http://schemas.openxmlformats.org/officeDocument/2006/relationships/hyperlink" Target="https://www.census.gov/data/tables/time-series/demo/popest/2020s-total-cities-and-towns.html" TargetMode="External"/><Relationship Id="rId1" Type="http://schemas.openxmlformats.org/officeDocument/2006/relationships/hyperlink" Target="https://www2.census.gov/programs-surveys/popest/datasets/2020-2022/state/totals/NST-EST2022-POPCHG2020_2022.csv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ic3.gov/Media/PDF/AnnualReport/2020State/StateReport.asp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census.gov/data/tables/time-series/demo/popest/2020s-total-cities-and-towns.html" TargetMode="External"/><Relationship Id="rId1" Type="http://schemas.openxmlformats.org/officeDocument/2006/relationships/hyperlink" Target="https://www2.census.gov/programs-surveys/popest/datasets/2020-2022/state/totals/NST-EST2022-POPCHG2020_2022.csv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0833-F893-440B-A067-1EE711BE5AD3}">
  <dimension ref="B2:R11"/>
  <sheetViews>
    <sheetView topLeftCell="B1" workbookViewId="0">
      <selection activeCell="C11" sqref="B4:C11"/>
    </sheetView>
  </sheetViews>
  <sheetFormatPr defaultRowHeight="14.4" x14ac:dyDescent="0.3"/>
  <cols>
    <col min="2" max="2" width="6.5546875" customWidth="1"/>
    <col min="3" max="3" width="15.21875" customWidth="1"/>
    <col min="4" max="6" width="10.109375" customWidth="1"/>
    <col min="8" max="8" width="12.88671875" customWidth="1"/>
    <col min="9" max="9" width="20.33203125" customWidth="1"/>
    <col min="10" max="10" width="10.109375" customWidth="1"/>
    <col min="11" max="11" width="9.44140625" customWidth="1"/>
    <col min="12" max="12" width="13.5546875" customWidth="1"/>
    <col min="13" max="13" width="21.88671875" customWidth="1"/>
    <col min="14" max="14" width="10.44140625" customWidth="1"/>
    <col min="15" max="15" width="35.109375" customWidth="1"/>
    <col min="16" max="16" width="15.6640625" customWidth="1"/>
    <col min="17" max="17" width="13.88671875" bestFit="1" customWidth="1"/>
    <col min="18" max="18" width="12" bestFit="1" customWidth="1"/>
  </cols>
  <sheetData>
    <row r="2" spans="2:18" x14ac:dyDescent="0.3">
      <c r="B2" t="s">
        <v>111</v>
      </c>
    </row>
    <row r="3" spans="2:18" x14ac:dyDescent="0.3">
      <c r="H3" s="17" t="s">
        <v>101</v>
      </c>
      <c r="I3" s="17"/>
      <c r="J3" s="17"/>
      <c r="K3" s="17"/>
      <c r="L3" s="17"/>
      <c r="M3" s="17" t="s">
        <v>103</v>
      </c>
      <c r="N3" s="17"/>
      <c r="O3" s="17"/>
      <c r="P3" s="17" t="s">
        <v>105</v>
      </c>
      <c r="Q3" s="17"/>
      <c r="R3" s="17"/>
    </row>
    <row r="4" spans="2:18" x14ac:dyDescent="0.3">
      <c r="B4" t="s">
        <v>98</v>
      </c>
      <c r="C4" t="s">
        <v>99</v>
      </c>
      <c r="D4" t="s">
        <v>108</v>
      </c>
      <c r="E4" t="s">
        <v>109</v>
      </c>
      <c r="F4" t="s">
        <v>110</v>
      </c>
      <c r="G4" t="s">
        <v>100</v>
      </c>
      <c r="H4" t="s">
        <v>102</v>
      </c>
      <c r="I4" t="s">
        <v>11</v>
      </c>
      <c r="J4" t="s">
        <v>10</v>
      </c>
      <c r="K4" t="s">
        <v>12</v>
      </c>
      <c r="L4" t="s">
        <v>13</v>
      </c>
      <c r="M4" t="s">
        <v>5</v>
      </c>
      <c r="N4" t="s">
        <v>9</v>
      </c>
      <c r="O4" t="s">
        <v>104</v>
      </c>
      <c r="P4" t="s">
        <v>33</v>
      </c>
      <c r="Q4" t="s">
        <v>106</v>
      </c>
      <c r="R4" t="s">
        <v>107</v>
      </c>
    </row>
    <row r="5" spans="2:18" x14ac:dyDescent="0.3">
      <c r="B5">
        <v>2016</v>
      </c>
      <c r="C5" s="1">
        <f>'2016_IC3 State to City'!$E$6</f>
        <v>177746</v>
      </c>
      <c r="H5" s="1">
        <v>53</v>
      </c>
      <c r="I5" s="1">
        <v>429</v>
      </c>
      <c r="J5" s="1">
        <v>60</v>
      </c>
      <c r="K5" s="1">
        <v>298</v>
      </c>
      <c r="L5" s="1">
        <v>49</v>
      </c>
      <c r="M5" s="1">
        <v>14</v>
      </c>
      <c r="N5" s="1">
        <v>361</v>
      </c>
      <c r="O5" s="1">
        <v>276</v>
      </c>
      <c r="P5" s="1">
        <v>44</v>
      </c>
      <c r="Q5" s="1">
        <v>281</v>
      </c>
      <c r="R5" s="1">
        <v>161</v>
      </c>
    </row>
    <row r="6" spans="2:18" x14ac:dyDescent="0.3">
      <c r="B6">
        <v>2017</v>
      </c>
      <c r="C6" s="1">
        <f>'2017_IC3 State to City'!$E$6</f>
        <v>179530</v>
      </c>
      <c r="H6" s="1">
        <v>53</v>
      </c>
      <c r="I6" s="1">
        <v>490</v>
      </c>
      <c r="J6" s="1">
        <v>43</v>
      </c>
      <c r="K6" s="1">
        <v>347</v>
      </c>
      <c r="L6" s="1">
        <v>33</v>
      </c>
      <c r="M6" s="1">
        <v>19</v>
      </c>
      <c r="N6" s="1">
        <v>290</v>
      </c>
      <c r="O6" s="1">
        <v>230</v>
      </c>
      <c r="P6" s="1">
        <v>38</v>
      </c>
      <c r="Q6" s="1">
        <v>332</v>
      </c>
      <c r="R6" s="1">
        <v>184</v>
      </c>
    </row>
    <row r="7" spans="2:18" x14ac:dyDescent="0.3">
      <c r="B7">
        <v>2018</v>
      </c>
      <c r="C7" s="1">
        <f>'2018_IC3 State to City'!$E$6</f>
        <v>181918</v>
      </c>
      <c r="H7" s="1">
        <v>28</v>
      </c>
      <c r="I7" s="1">
        <v>697</v>
      </c>
      <c r="J7" s="1">
        <v>23</v>
      </c>
      <c r="K7" s="1">
        <v>311</v>
      </c>
      <c r="L7" s="1">
        <v>20</v>
      </c>
      <c r="M7" s="1">
        <v>28</v>
      </c>
      <c r="N7" s="1">
        <v>759</v>
      </c>
      <c r="O7" s="1">
        <v>262</v>
      </c>
      <c r="P7" s="1">
        <v>25</v>
      </c>
      <c r="Q7" s="1">
        <v>407</v>
      </c>
      <c r="R7" s="1">
        <v>297</v>
      </c>
    </row>
    <row r="8" spans="2:18" x14ac:dyDescent="0.3">
      <c r="B8">
        <v>2019</v>
      </c>
      <c r="C8" s="1">
        <f>'2019_IC3 State to City'!$E$6</f>
        <v>182799</v>
      </c>
      <c r="H8" s="1">
        <v>21</v>
      </c>
      <c r="I8" s="1">
        <v>507</v>
      </c>
      <c r="J8" s="1">
        <v>46</v>
      </c>
      <c r="K8" s="1">
        <v>310</v>
      </c>
      <c r="L8" s="1">
        <v>34</v>
      </c>
      <c r="M8" s="1">
        <v>23</v>
      </c>
      <c r="N8" s="1">
        <v>725</v>
      </c>
      <c r="O8" s="1">
        <v>199</v>
      </c>
      <c r="P8" s="1">
        <v>58</v>
      </c>
      <c r="Q8" s="1">
        <v>289</v>
      </c>
      <c r="R8" s="1">
        <v>331</v>
      </c>
    </row>
    <row r="9" spans="2:18" x14ac:dyDescent="0.3">
      <c r="B9">
        <v>2020</v>
      </c>
      <c r="C9" s="1">
        <f>'2020_IC3 State to City'!$E$6</f>
        <v>181560</v>
      </c>
      <c r="H9" s="1">
        <v>29</v>
      </c>
      <c r="I9" s="1">
        <v>714</v>
      </c>
      <c r="J9" s="1">
        <v>18</v>
      </c>
      <c r="K9" s="1">
        <v>379</v>
      </c>
      <c r="L9" s="1">
        <v>34</v>
      </c>
      <c r="M9" s="1">
        <v>60</v>
      </c>
      <c r="N9" s="1">
        <v>1185</v>
      </c>
      <c r="O9" s="1">
        <v>267</v>
      </c>
      <c r="P9" s="1">
        <v>75</v>
      </c>
      <c r="Q9" s="1">
        <v>419</v>
      </c>
      <c r="R9" s="1">
        <v>249</v>
      </c>
    </row>
    <row r="10" spans="2:18" x14ac:dyDescent="0.3">
      <c r="B10">
        <v>2021</v>
      </c>
      <c r="C10" s="1">
        <f>'2021_IC3 State to City'!$E$6</f>
        <v>181163</v>
      </c>
      <c r="H10" s="1">
        <v>21</v>
      </c>
      <c r="I10" s="1">
        <v>742</v>
      </c>
      <c r="J10" s="1">
        <v>11</v>
      </c>
      <c r="K10" s="1">
        <v>438</v>
      </c>
      <c r="L10" s="1">
        <v>47</v>
      </c>
      <c r="M10" s="1">
        <v>29</v>
      </c>
      <c r="N10" s="1">
        <v>628</v>
      </c>
      <c r="O10" s="1">
        <v>172</v>
      </c>
      <c r="P10" s="1">
        <v>60</v>
      </c>
      <c r="Q10" s="1">
        <v>529</v>
      </c>
      <c r="R10" s="1">
        <v>321</v>
      </c>
    </row>
    <row r="11" spans="2:18" x14ac:dyDescent="0.3">
      <c r="B11">
        <v>2022</v>
      </c>
      <c r="C11" s="1">
        <f>'2022_IC3 State to City'!$E$6</f>
        <v>184086</v>
      </c>
      <c r="H11" s="1">
        <v>44</v>
      </c>
      <c r="I11" s="1">
        <v>903</v>
      </c>
      <c r="J11" s="1">
        <v>9</v>
      </c>
      <c r="K11" s="1">
        <v>296</v>
      </c>
      <c r="L11" s="1">
        <v>31</v>
      </c>
      <c r="M11" s="1">
        <v>54</v>
      </c>
      <c r="N11" s="1">
        <v>695</v>
      </c>
      <c r="O11" s="1">
        <v>28</v>
      </c>
      <c r="P11" s="1">
        <v>19</v>
      </c>
      <c r="Q11" s="1">
        <v>539</v>
      </c>
      <c r="R11" s="1">
        <f>'2022_IC3 State to City'!$E$8</f>
        <v>416</v>
      </c>
    </row>
  </sheetData>
  <mergeCells count="3">
    <mergeCell ref="H3:L3"/>
    <mergeCell ref="M3:O3"/>
    <mergeCell ref="P3:R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F3C9-7347-4E5A-8AF1-020A6A780EE6}">
  <dimension ref="B4:P40"/>
  <sheetViews>
    <sheetView topLeftCell="B7" workbookViewId="0">
      <selection activeCell="F29" sqref="F29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t="s">
        <v>3</v>
      </c>
      <c r="C5" t="s">
        <v>94</v>
      </c>
      <c r="D5" t="s">
        <v>8</v>
      </c>
      <c r="E5" s="15">
        <v>6646010</v>
      </c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t="s">
        <v>19</v>
      </c>
      <c r="C6" t="s">
        <v>95</v>
      </c>
      <c r="D6" t="s">
        <v>8</v>
      </c>
      <c r="E6" s="13">
        <v>177746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96</v>
      </c>
      <c r="C7" t="s">
        <v>26</v>
      </c>
      <c r="D7" t="s">
        <v>22</v>
      </c>
      <c r="E7" s="1">
        <v>276</v>
      </c>
      <c r="F7" s="3">
        <f>E7/E5</f>
        <v>4.1528676604458915E-5</v>
      </c>
      <c r="G7">
        <f>ROUNDDOWN(F7*E6,0)</f>
        <v>7</v>
      </c>
      <c r="H7" s="4">
        <v>1211869</v>
      </c>
      <c r="I7" s="7">
        <f>H7/E7</f>
        <v>4390.829710144928</v>
      </c>
      <c r="J7" s="7">
        <f>I7*G7</f>
        <v>30735.807971014496</v>
      </c>
      <c r="K7" s="8">
        <v>65</v>
      </c>
      <c r="L7" s="3">
        <f>K7/E5</f>
        <v>9.7803042727892369E-6</v>
      </c>
      <c r="M7" s="8">
        <f>ROUNDDOWN(L7*E6,0)</f>
        <v>1</v>
      </c>
      <c r="N7" s="4">
        <v>147059</v>
      </c>
      <c r="O7" s="10">
        <f>N7/K7</f>
        <v>2262.4461538461537</v>
      </c>
      <c r="P7" s="7">
        <f>M7*O7</f>
        <v>2262.4461538461537</v>
      </c>
    </row>
    <row r="8" spans="2:16" s="2" customFormat="1" x14ac:dyDescent="0.3">
      <c r="B8" s="12" t="s">
        <v>96</v>
      </c>
      <c r="C8" t="s">
        <v>24</v>
      </c>
      <c r="D8" t="s">
        <v>22</v>
      </c>
      <c r="E8" s="1">
        <v>161</v>
      </c>
      <c r="F8" s="3">
        <f>E8/E5</f>
        <v>2.4225061352601035E-5</v>
      </c>
      <c r="G8">
        <f>ROUNDDOWN(F8*E6,0)</f>
        <v>4</v>
      </c>
      <c r="H8" s="4">
        <v>2781785</v>
      </c>
      <c r="I8" s="7">
        <f>H8/E8</f>
        <v>17278.167701863353</v>
      </c>
      <c r="J8" s="7">
        <f t="shared" ref="J8:J38" si="0">I8*G8</f>
        <v>69112.670807453411</v>
      </c>
      <c r="K8" s="8">
        <v>43</v>
      </c>
      <c r="L8" s="3">
        <f>K8/E5</f>
        <v>6.4700474419990342E-6</v>
      </c>
      <c r="M8" s="8">
        <f>ROUNDDOWN(L8*E6,0)</f>
        <v>1</v>
      </c>
      <c r="N8" s="4">
        <v>546991</v>
      </c>
      <c r="O8" s="10">
        <f t="shared" ref="O8:O36" si="1">N8/K8</f>
        <v>12720.720930232557</v>
      </c>
      <c r="P8" s="7">
        <f t="shared" ref="P8:P36" si="2">M8*O8</f>
        <v>12720.720930232557</v>
      </c>
    </row>
    <row r="9" spans="2:16" s="2" customFormat="1" x14ac:dyDescent="0.3">
      <c r="B9" s="12" t="s">
        <v>96</v>
      </c>
      <c r="C9" t="s">
        <v>27</v>
      </c>
      <c r="D9" t="s">
        <v>22</v>
      </c>
      <c r="E9" s="1"/>
      <c r="F9" s="3">
        <f>E9/E5</f>
        <v>0</v>
      </c>
      <c r="G9">
        <f>ROUNDDOWN(F9*E6,0)</f>
        <v>0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96</v>
      </c>
      <c r="C10" t="s">
        <v>28</v>
      </c>
      <c r="D10" t="s">
        <v>22</v>
      </c>
      <c r="E10" s="1">
        <v>220</v>
      </c>
      <c r="F10" s="3">
        <f>E10/E5</f>
        <v>3.3102568307902036E-5</v>
      </c>
      <c r="G10">
        <f>ROUNDDOWN(F10*E6,0)</f>
        <v>5</v>
      </c>
      <c r="H10" s="4">
        <v>2251140</v>
      </c>
      <c r="I10" s="7">
        <f t="shared" si="3"/>
        <v>10232.454545454546</v>
      </c>
      <c r="J10" s="7">
        <f t="shared" si="0"/>
        <v>51162.272727272728</v>
      </c>
      <c r="K10" s="8">
        <v>74</v>
      </c>
      <c r="L10" s="3">
        <f>K10/E5</f>
        <v>1.1134500249021593E-5</v>
      </c>
      <c r="M10" s="8">
        <f>ROUNDDOWN(L10*E6,0)</f>
        <v>1</v>
      </c>
      <c r="N10" s="4">
        <v>955402</v>
      </c>
      <c r="O10" s="10">
        <f t="shared" si="1"/>
        <v>12910.837837837838</v>
      </c>
      <c r="P10" s="7">
        <f t="shared" si="2"/>
        <v>12910.837837837838</v>
      </c>
    </row>
    <row r="11" spans="2:16" s="2" customFormat="1" x14ac:dyDescent="0.3">
      <c r="B11" s="12" t="s">
        <v>96</v>
      </c>
      <c r="C11" t="s">
        <v>29</v>
      </c>
      <c r="D11" t="s">
        <v>22</v>
      </c>
      <c r="E11" s="1"/>
      <c r="F11" s="3">
        <f>E11/E5</f>
        <v>0</v>
      </c>
      <c r="G11">
        <f>ROUNDDOWN(F11*E6,0)</f>
        <v>0</v>
      </c>
      <c r="H11" s="6"/>
      <c r="I11" s="7" t="e">
        <f t="shared" si="3"/>
        <v>#DIV/0!</v>
      </c>
      <c r="J11" s="7" t="e">
        <f t="shared" si="0"/>
        <v>#DIV/0!</v>
      </c>
      <c r="K11" s="8"/>
      <c r="L11" s="3">
        <f>K11/E5</f>
        <v>0</v>
      </c>
      <c r="M11" s="8">
        <f>ROUNDDOWN(L11*E6,0)</f>
        <v>0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s="12" t="s">
        <v>96</v>
      </c>
      <c r="C12" t="s">
        <v>5</v>
      </c>
      <c r="D12" t="s">
        <v>22</v>
      </c>
      <c r="E12" s="1">
        <v>14</v>
      </c>
      <c r="F12" s="3">
        <f>E12/E5</f>
        <v>2.1065270741392203E-6</v>
      </c>
      <c r="G12">
        <f>ROUNDDOWN(F12*E6,0)</f>
        <v>0</v>
      </c>
      <c r="H12" s="4">
        <v>175</v>
      </c>
      <c r="I12" s="7">
        <f t="shared" si="3"/>
        <v>12.5</v>
      </c>
      <c r="J12" s="7">
        <f t="shared" si="0"/>
        <v>0</v>
      </c>
      <c r="K12" s="8">
        <v>5</v>
      </c>
      <c r="L12" s="3">
        <f>K12/E5</f>
        <v>7.5233109790686441E-7</v>
      </c>
      <c r="M12" s="8">
        <f>ROUNDDOWN(L12*E6,0)</f>
        <v>0</v>
      </c>
      <c r="N12" s="10">
        <v>0</v>
      </c>
      <c r="O12" s="10">
        <f t="shared" si="1"/>
        <v>0</v>
      </c>
      <c r="P12" s="7">
        <f t="shared" si="2"/>
        <v>0</v>
      </c>
    </row>
    <row r="13" spans="2:16" s="2" customFormat="1" x14ac:dyDescent="0.3">
      <c r="B13" s="12" t="s">
        <v>96</v>
      </c>
      <c r="C13" t="s">
        <v>6</v>
      </c>
      <c r="D13" t="s">
        <v>22</v>
      </c>
      <c r="E13" s="1">
        <v>53</v>
      </c>
      <c r="F13" s="3">
        <f>E13/E5</f>
        <v>7.974709637812763E-6</v>
      </c>
      <c r="G13">
        <f>ROUNDDOWN(F13*E6,0)</f>
        <v>1</v>
      </c>
      <c r="H13" s="4">
        <v>121715</v>
      </c>
      <c r="I13" s="7">
        <f t="shared" si="3"/>
        <v>2296.5094339622642</v>
      </c>
      <c r="J13" s="7">
        <f t="shared" si="0"/>
        <v>2296.5094339622642</v>
      </c>
      <c r="K13" s="8">
        <v>11</v>
      </c>
      <c r="L13" s="3">
        <f>K13/E5</f>
        <v>1.6551284153951018E-6</v>
      </c>
      <c r="M13" s="8">
        <f>ROUNDDOWN(L13*E6,0)</f>
        <v>0</v>
      </c>
      <c r="N13" s="6">
        <v>35450</v>
      </c>
      <c r="O13" s="9"/>
      <c r="P13" s="7">
        <f t="shared" si="2"/>
        <v>0</v>
      </c>
    </row>
    <row r="14" spans="2:16" s="2" customFormat="1" x14ac:dyDescent="0.3">
      <c r="B14" s="12" t="s">
        <v>96</v>
      </c>
      <c r="C14" t="s">
        <v>30</v>
      </c>
      <c r="D14" t="s">
        <v>22</v>
      </c>
      <c r="E14" s="1">
        <v>271</v>
      </c>
      <c r="F14" s="3">
        <f>E14/E5</f>
        <v>4.077634550655205E-5</v>
      </c>
      <c r="G14">
        <f>ROUNDDOWN(F14*E6,0)</f>
        <v>7</v>
      </c>
      <c r="H14" s="4">
        <v>513855</v>
      </c>
      <c r="I14" s="7">
        <f t="shared" si="3"/>
        <v>1896.1439114391144</v>
      </c>
      <c r="J14" s="7">
        <f t="shared" si="0"/>
        <v>13273.007380073801</v>
      </c>
      <c r="K14" s="8">
        <v>75</v>
      </c>
      <c r="L14" s="3">
        <f>K14/E5</f>
        <v>1.1284966468602967E-5</v>
      </c>
      <c r="M14" s="8">
        <f>ROUNDDOWN(L14*E6,0)</f>
        <v>2</v>
      </c>
      <c r="N14" s="4">
        <v>111690</v>
      </c>
      <c r="O14" s="10">
        <f t="shared" si="1"/>
        <v>1489.2</v>
      </c>
      <c r="P14" s="7">
        <f t="shared" si="2"/>
        <v>2978.4</v>
      </c>
    </row>
    <row r="15" spans="2:16" s="2" customFormat="1" x14ac:dyDescent="0.3">
      <c r="B15" s="12" t="s">
        <v>96</v>
      </c>
      <c r="C15" t="s">
        <v>9</v>
      </c>
      <c r="D15" t="s">
        <v>22</v>
      </c>
      <c r="E15" s="1">
        <v>361</v>
      </c>
      <c r="F15" s="3">
        <f>E15/E5</f>
        <v>5.4318305268875612E-5</v>
      </c>
      <c r="G15">
        <f>ROUNDDOWN(F15*E6,0)</f>
        <v>9</v>
      </c>
      <c r="H15" s="4">
        <v>249043</v>
      </c>
      <c r="I15" s="7">
        <f t="shared" si="3"/>
        <v>689.86980609418288</v>
      </c>
      <c r="J15" s="7">
        <f t="shared" si="0"/>
        <v>6208.8282548476454</v>
      </c>
      <c r="K15" s="8">
        <v>38</v>
      </c>
      <c r="L15" s="3">
        <f>K15/E5</f>
        <v>5.7177163440921694E-6</v>
      </c>
      <c r="M15" s="8">
        <f>ROUNDDOWN(L15*E6,0)</f>
        <v>1</v>
      </c>
      <c r="N15" s="4">
        <v>54046</v>
      </c>
      <c r="O15" s="10">
        <f t="shared" si="1"/>
        <v>1422.2631578947369</v>
      </c>
      <c r="P15" s="7">
        <f t="shared" si="2"/>
        <v>1422.2631578947369</v>
      </c>
    </row>
    <row r="16" spans="2:16" s="2" customFormat="1" x14ac:dyDescent="0.3">
      <c r="B16" s="12" t="s">
        <v>96</v>
      </c>
      <c r="C16" t="s">
        <v>31</v>
      </c>
      <c r="D16" t="s">
        <v>22</v>
      </c>
      <c r="E16" s="1">
        <v>291</v>
      </c>
      <c r="F16" s="3">
        <f>E16/E5</f>
        <v>4.3785669898179512E-5</v>
      </c>
      <c r="G16">
        <f>ROUNDDOWN(F16*E6,0)</f>
        <v>7</v>
      </c>
      <c r="H16" s="6">
        <v>200649</v>
      </c>
      <c r="I16" s="9"/>
      <c r="J16" s="7">
        <f t="shared" si="0"/>
        <v>0</v>
      </c>
      <c r="K16" s="8">
        <v>20</v>
      </c>
      <c r="L16" s="3">
        <f>K16/E5</f>
        <v>3.0093243916274577E-6</v>
      </c>
      <c r="M16" s="8">
        <f>ROUNDDOWN(L16*E6,0)</f>
        <v>0</v>
      </c>
      <c r="N16" s="4">
        <v>12891</v>
      </c>
      <c r="O16" s="10">
        <f t="shared" si="1"/>
        <v>644.54999999999995</v>
      </c>
      <c r="P16" s="7">
        <f t="shared" si="2"/>
        <v>0</v>
      </c>
    </row>
    <row r="17" spans="2:16" s="2" customFormat="1" x14ac:dyDescent="0.3">
      <c r="B17" s="12" t="s">
        <v>96</v>
      </c>
      <c r="C17" t="s">
        <v>32</v>
      </c>
      <c r="D17" t="s">
        <v>22</v>
      </c>
      <c r="E17" s="1"/>
      <c r="F17" s="3">
        <f>E17/E5</f>
        <v>0</v>
      </c>
      <c r="G17">
        <f>ROUNDDOWN(F17*E6,0)</f>
        <v>0</v>
      </c>
      <c r="H17" s="4"/>
      <c r="I17" s="7" t="e">
        <f t="shared" si="3"/>
        <v>#DIV/0!</v>
      </c>
      <c r="J17" s="7" t="e">
        <f t="shared" si="0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96</v>
      </c>
      <c r="C18" t="s">
        <v>33</v>
      </c>
      <c r="D18" t="s">
        <v>22</v>
      </c>
      <c r="E18" s="1">
        <v>44</v>
      </c>
      <c r="F18" s="3">
        <f>E18/E5</f>
        <v>6.6205136615804072E-6</v>
      </c>
      <c r="G18">
        <f>ROUNDDOWN(F18*E6,0)</f>
        <v>1</v>
      </c>
      <c r="H18" s="4">
        <v>31909</v>
      </c>
      <c r="I18" s="7">
        <f t="shared" si="3"/>
        <v>725.2045454545455</v>
      </c>
      <c r="J18" s="7">
        <f t="shared" si="0"/>
        <v>725.2045454545455</v>
      </c>
      <c r="K18" s="8">
        <v>13</v>
      </c>
      <c r="L18" s="3">
        <f>K18/E5</f>
        <v>1.9560608545578473E-6</v>
      </c>
      <c r="M18" s="8">
        <f>ROUNDDOWN(L18*E6,0)</f>
        <v>0</v>
      </c>
      <c r="N18" s="4">
        <v>6030</v>
      </c>
      <c r="O18" s="10">
        <f t="shared" si="1"/>
        <v>463.84615384615387</v>
      </c>
      <c r="P18" s="7">
        <f t="shared" si="2"/>
        <v>0</v>
      </c>
    </row>
    <row r="19" spans="2:16" s="2" customFormat="1" x14ac:dyDescent="0.3">
      <c r="B19" s="12" t="s">
        <v>96</v>
      </c>
      <c r="C19" t="s">
        <v>34</v>
      </c>
      <c r="D19" t="s">
        <v>22</v>
      </c>
      <c r="E19" s="1">
        <v>281</v>
      </c>
      <c r="F19" s="3">
        <f>E19/E5</f>
        <v>4.2281007702365781E-5</v>
      </c>
      <c r="G19">
        <f>ROUNDDOWN(F19*E6,0)</f>
        <v>7</v>
      </c>
      <c r="H19" s="4">
        <v>564262</v>
      </c>
      <c r="I19" s="7">
        <f t="shared" si="3"/>
        <v>2008.049822064057</v>
      </c>
      <c r="J19" s="7">
        <f t="shared" si="0"/>
        <v>14056.3487544484</v>
      </c>
      <c r="K19" s="8">
        <v>77</v>
      </c>
      <c r="L19" s="3">
        <f>K19/E5</f>
        <v>1.1585898907765713E-5</v>
      </c>
      <c r="M19" s="8">
        <f>ROUNDDOWN(L19*E6,0)</f>
        <v>2</v>
      </c>
      <c r="N19" s="4">
        <v>248422</v>
      </c>
      <c r="O19" s="10">
        <f t="shared" si="1"/>
        <v>3226.2597402597403</v>
      </c>
      <c r="P19" s="7">
        <f t="shared" si="2"/>
        <v>6452.5194805194806</v>
      </c>
    </row>
    <row r="20" spans="2:16" s="2" customFormat="1" x14ac:dyDescent="0.3">
      <c r="B20" s="12" t="s">
        <v>96</v>
      </c>
      <c r="C20" t="s">
        <v>35</v>
      </c>
      <c r="D20" t="s">
        <v>22</v>
      </c>
      <c r="E20" s="1">
        <v>15</v>
      </c>
      <c r="F20" s="3">
        <f>E20/E5</f>
        <v>2.2569932937205932E-6</v>
      </c>
      <c r="G20">
        <f>ROUNDDOWN(F20*E6,0)</f>
        <v>0</v>
      </c>
      <c r="H20" s="4">
        <v>604540</v>
      </c>
      <c r="I20" s="7">
        <f t="shared" si="3"/>
        <v>40302.666666666664</v>
      </c>
      <c r="J20" s="7">
        <f t="shared" si="0"/>
        <v>0</v>
      </c>
      <c r="K20" s="8">
        <v>10</v>
      </c>
      <c r="L20" s="3">
        <f>K20/E5</f>
        <v>1.5046621958137288E-6</v>
      </c>
      <c r="M20" s="8">
        <f>ROUNDDOWN(L20*E6,0)</f>
        <v>0</v>
      </c>
      <c r="N20" s="4">
        <v>377812</v>
      </c>
      <c r="O20" s="10">
        <f t="shared" si="1"/>
        <v>37781.199999999997</v>
      </c>
      <c r="P20" s="7">
        <f t="shared" si="2"/>
        <v>0</v>
      </c>
    </row>
    <row r="21" spans="2:16" s="2" customFormat="1" x14ac:dyDescent="0.3">
      <c r="B21" s="12" t="s">
        <v>96</v>
      </c>
      <c r="C21" t="s">
        <v>36</v>
      </c>
      <c r="D21" t="s">
        <v>22</v>
      </c>
      <c r="E21" s="1">
        <v>102</v>
      </c>
      <c r="F21" s="3">
        <f>E21/E5</f>
        <v>1.5347554397300034E-5</v>
      </c>
      <c r="G21">
        <f>ROUNDDOWN(F21*E6,0)</f>
        <v>2</v>
      </c>
      <c r="H21" s="4">
        <v>780297</v>
      </c>
      <c r="I21" s="7">
        <f t="shared" si="3"/>
        <v>7649.9705882352937</v>
      </c>
      <c r="J21" s="7">
        <f t="shared" si="0"/>
        <v>15299.941176470587</v>
      </c>
      <c r="K21" s="8">
        <v>17</v>
      </c>
      <c r="L21" s="3">
        <f>K21/E5</f>
        <v>2.5579257328833392E-6</v>
      </c>
      <c r="M21" s="8">
        <f>ROUNDDOWN(L21*E6,0)</f>
        <v>0</v>
      </c>
      <c r="N21" s="4">
        <v>87613</v>
      </c>
      <c r="O21" s="10">
        <f t="shared" si="1"/>
        <v>5153.7058823529414</v>
      </c>
      <c r="P21" s="7">
        <f t="shared" si="2"/>
        <v>0</v>
      </c>
    </row>
    <row r="22" spans="2:16" s="2" customFormat="1" x14ac:dyDescent="0.3">
      <c r="B22" s="12" t="s">
        <v>96</v>
      </c>
      <c r="C22" t="s">
        <v>10</v>
      </c>
      <c r="D22" t="s">
        <v>22</v>
      </c>
      <c r="E22" s="1">
        <v>60</v>
      </c>
      <c r="F22" s="3">
        <f>E22/E5</f>
        <v>9.027973174882373E-6</v>
      </c>
      <c r="G22">
        <f>ROUNDDOWN(F22*E6,0)</f>
        <v>1</v>
      </c>
      <c r="H22" s="4">
        <f>8139+7793</f>
        <v>15932</v>
      </c>
      <c r="I22" s="7">
        <f t="shared" si="3"/>
        <v>265.53333333333336</v>
      </c>
      <c r="J22" s="7">
        <f t="shared" si="0"/>
        <v>265.53333333333336</v>
      </c>
      <c r="K22" s="8">
        <v>14</v>
      </c>
      <c r="L22" s="3">
        <f>K22/E5</f>
        <v>2.1065270741392203E-6</v>
      </c>
      <c r="M22" s="8">
        <f>ROUNDDOWN(L22*E6,0)</f>
        <v>0</v>
      </c>
      <c r="N22" s="10">
        <v>517</v>
      </c>
      <c r="O22" s="10">
        <f t="shared" si="1"/>
        <v>36.928571428571431</v>
      </c>
      <c r="P22" s="7">
        <f t="shared" si="2"/>
        <v>0</v>
      </c>
    </row>
    <row r="23" spans="2:16" s="2" customFormat="1" x14ac:dyDescent="0.3">
      <c r="B23" s="12" t="s">
        <v>96</v>
      </c>
      <c r="C23" t="s">
        <v>37</v>
      </c>
      <c r="D23" t="s">
        <v>22</v>
      </c>
      <c r="E23" s="1"/>
      <c r="F23" s="3">
        <f>E23/E5</f>
        <v>0</v>
      </c>
      <c r="G23">
        <f>ROUNDDOWN(F23*E6,0)</f>
        <v>0</v>
      </c>
      <c r="H23" s="4"/>
      <c r="I23" s="7" t="e">
        <f t="shared" si="3"/>
        <v>#DIV/0!</v>
      </c>
      <c r="J23" s="7" t="e">
        <f t="shared" si="0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96</v>
      </c>
      <c r="C24" t="s">
        <v>38</v>
      </c>
      <c r="D24" t="s">
        <v>22</v>
      </c>
      <c r="E24" s="1"/>
      <c r="F24" s="3">
        <f>E24/E5</f>
        <v>0</v>
      </c>
      <c r="G24">
        <f>ROUNDDOWN(F24*E6,0)</f>
        <v>0</v>
      </c>
      <c r="H24" s="4"/>
      <c r="I24" s="7" t="e">
        <f t="shared" si="3"/>
        <v>#DIV/0!</v>
      </c>
      <c r="J24" s="7" t="e">
        <f t="shared" si="0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96</v>
      </c>
      <c r="C25" t="s">
        <v>39</v>
      </c>
      <c r="D25" t="s">
        <v>22</v>
      </c>
      <c r="E25" s="1">
        <v>146</v>
      </c>
      <c r="F25" s="3">
        <f>E25/E5</f>
        <v>2.1968068058880441E-5</v>
      </c>
      <c r="G25">
        <f>ROUNDDOWN(F25*E6,0)</f>
        <v>3</v>
      </c>
      <c r="H25" s="4">
        <v>0</v>
      </c>
      <c r="I25" s="7">
        <f t="shared" si="3"/>
        <v>0</v>
      </c>
      <c r="J25" s="7">
        <f t="shared" si="0"/>
        <v>0</v>
      </c>
      <c r="K25" s="8">
        <v>215</v>
      </c>
      <c r="L25" s="3">
        <f>K25/E5</f>
        <v>3.235023720999517E-5</v>
      </c>
      <c r="M25" s="8">
        <f>ROUNDDOWN(L25*E6,0)</f>
        <v>5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96</v>
      </c>
      <c r="C26" t="s">
        <v>40</v>
      </c>
      <c r="D26" t="s">
        <v>22</v>
      </c>
      <c r="E26" s="1">
        <v>1285</v>
      </c>
      <c r="F26" s="3">
        <f>E26/E5</f>
        <v>1.9334909216206416E-4</v>
      </c>
      <c r="G26">
        <f>ROUNDDOWN(F26*E6,0)</f>
        <v>34</v>
      </c>
      <c r="H26" s="4">
        <v>1996281</v>
      </c>
      <c r="I26" s="7">
        <f t="shared" si="3"/>
        <v>1553.5260700389106</v>
      </c>
      <c r="J26" s="7">
        <f t="shared" si="0"/>
        <v>52819.886381322962</v>
      </c>
      <c r="K26" s="8">
        <v>495</v>
      </c>
      <c r="L26" s="3">
        <f>K26/E5</f>
        <v>7.4480778692779574E-5</v>
      </c>
      <c r="M26" s="8">
        <f>ROUNDDOWN(L26*E6,0)</f>
        <v>13</v>
      </c>
      <c r="N26" s="4">
        <v>1547162</v>
      </c>
      <c r="O26" s="10">
        <f t="shared" si="1"/>
        <v>3125.5797979797981</v>
      </c>
      <c r="P26" s="7">
        <f t="shared" si="2"/>
        <v>40632.537373737374</v>
      </c>
    </row>
    <row r="27" spans="2:16" s="2" customFormat="1" x14ac:dyDescent="0.3">
      <c r="B27" s="12" t="s">
        <v>96</v>
      </c>
      <c r="C27" t="s">
        <v>41</v>
      </c>
      <c r="D27" t="s">
        <v>22</v>
      </c>
      <c r="E27" s="1">
        <v>148</v>
      </c>
      <c r="F27" s="3">
        <f>E27/E5</f>
        <v>2.2269000498043186E-5</v>
      </c>
      <c r="G27">
        <f>ROUNDDOWN(F27*E6,0)</f>
        <v>3</v>
      </c>
      <c r="H27" s="4">
        <v>421656</v>
      </c>
      <c r="I27" s="7">
        <f t="shared" si="3"/>
        <v>2849.0270270270271</v>
      </c>
      <c r="J27" s="7">
        <f t="shared" si="0"/>
        <v>8547.0810810810817</v>
      </c>
      <c r="K27" s="8">
        <v>45</v>
      </c>
      <c r="L27" s="3">
        <f>K27/E5</f>
        <v>6.7709798811617801E-6</v>
      </c>
      <c r="M27" s="8">
        <f>ROUNDDOWN(L27*E6,0)</f>
        <v>1</v>
      </c>
      <c r="N27" s="4">
        <v>180005</v>
      </c>
      <c r="O27" s="10">
        <f>N27/K27</f>
        <v>4000.1111111111113</v>
      </c>
      <c r="P27" s="7">
        <f t="shared" si="2"/>
        <v>4000.1111111111113</v>
      </c>
    </row>
    <row r="28" spans="2:16" s="2" customFormat="1" x14ac:dyDescent="0.3">
      <c r="B28" s="12" t="s">
        <v>96</v>
      </c>
      <c r="C28" t="s">
        <v>42</v>
      </c>
      <c r="D28" t="s">
        <v>22</v>
      </c>
      <c r="E28" s="1"/>
      <c r="F28" s="3">
        <f>E28/E5</f>
        <v>0</v>
      </c>
      <c r="G28">
        <f>ROUNDDOWN(F28*E6,0)</f>
        <v>0</v>
      </c>
      <c r="H28" s="4" t="s">
        <v>64</v>
      </c>
      <c r="I28" s="7" t="e">
        <f t="shared" si="3"/>
        <v>#VALUE!</v>
      </c>
      <c r="J28" s="7" t="e">
        <f>I28*G28</f>
        <v>#VALUE!</v>
      </c>
      <c r="K28" s="8"/>
      <c r="L28" s="3">
        <f>K28/E5</f>
        <v>0</v>
      </c>
      <c r="M28" s="8">
        <f>ROUNDDOWN(L28*E6,0)</f>
        <v>0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s="12" t="s">
        <v>96</v>
      </c>
      <c r="C29" t="s">
        <v>11</v>
      </c>
      <c r="D29" t="s">
        <v>22</v>
      </c>
      <c r="E29" s="1">
        <v>429</v>
      </c>
      <c r="F29" s="3">
        <f>E29/E5</f>
        <v>6.4550008200408963E-5</v>
      </c>
      <c r="G29">
        <f>ROUNDDOWN(F29*E6,0)</f>
        <v>11</v>
      </c>
      <c r="H29" s="4">
        <v>938982</v>
      </c>
      <c r="I29" s="7">
        <f t="shared" si="3"/>
        <v>2188.7692307692309</v>
      </c>
      <c r="J29" s="7">
        <f t="shared" si="0"/>
        <v>24076.461538461539</v>
      </c>
      <c r="K29" s="8">
        <v>282</v>
      </c>
      <c r="L29" s="3">
        <f>K29/E5</f>
        <v>4.2431473921947151E-5</v>
      </c>
      <c r="M29" s="8">
        <f>ROUNDDOWN(L29*E6,0)</f>
        <v>7</v>
      </c>
      <c r="N29" s="4">
        <v>97512</v>
      </c>
      <c r="O29" s="10">
        <f t="shared" si="1"/>
        <v>345.78723404255317</v>
      </c>
      <c r="P29" s="7">
        <f t="shared" si="2"/>
        <v>2420.510638297872</v>
      </c>
    </row>
    <row r="30" spans="2:16" s="2" customFormat="1" x14ac:dyDescent="0.3">
      <c r="B30" s="12" t="s">
        <v>96</v>
      </c>
      <c r="C30" t="s">
        <v>12</v>
      </c>
      <c r="D30" t="s">
        <v>22</v>
      </c>
      <c r="E30" s="1">
        <v>298</v>
      </c>
      <c r="F30" s="3">
        <f>E30/E5</f>
        <v>4.4838933435249119E-5</v>
      </c>
      <c r="G30">
        <f>ROUNDDOWN(F30*E6,0)</f>
        <v>7</v>
      </c>
      <c r="H30" s="4">
        <v>267275</v>
      </c>
      <c r="I30" s="7">
        <f t="shared" si="3"/>
        <v>896.89597315436242</v>
      </c>
      <c r="J30" s="7">
        <f t="shared" si="0"/>
        <v>6278.2718120805366</v>
      </c>
      <c r="K30" s="8">
        <v>36</v>
      </c>
      <c r="L30" s="3">
        <f>K30/E5</f>
        <v>5.4167839049294234E-6</v>
      </c>
      <c r="M30" s="8">
        <f>ROUNDDOWN(L30*E6,0)</f>
        <v>0</v>
      </c>
      <c r="N30" s="4">
        <v>9790</v>
      </c>
      <c r="O30" s="10">
        <f t="shared" si="1"/>
        <v>271.94444444444446</v>
      </c>
      <c r="P30" s="7">
        <f t="shared" si="2"/>
        <v>0</v>
      </c>
    </row>
    <row r="31" spans="2:16" s="2" customFormat="1" x14ac:dyDescent="0.3">
      <c r="B31" s="12" t="s">
        <v>96</v>
      </c>
      <c r="C31" t="s">
        <v>13</v>
      </c>
      <c r="D31" t="s">
        <v>22</v>
      </c>
      <c r="E31" s="1">
        <v>49</v>
      </c>
      <c r="F31" s="3">
        <f>E31/E5</f>
        <v>7.3728447594872712E-6</v>
      </c>
      <c r="G31">
        <f>ROUNDDOWN(F31*E6,0)</f>
        <v>1</v>
      </c>
      <c r="H31" s="4">
        <v>10106</v>
      </c>
      <c r="I31" s="7">
        <f>H31/E31</f>
        <v>206.24489795918367</v>
      </c>
      <c r="J31" s="7">
        <f t="shared" si="0"/>
        <v>206.24489795918367</v>
      </c>
      <c r="K31" s="8">
        <v>3</v>
      </c>
      <c r="L31" s="3">
        <f>K31/E5</f>
        <v>4.5139865874411864E-7</v>
      </c>
      <c r="M31" s="8">
        <f>ROUNDDOWN(L31*E6,0)</f>
        <v>0</v>
      </c>
      <c r="N31" s="10">
        <v>0</v>
      </c>
      <c r="O31" s="10">
        <f t="shared" si="1"/>
        <v>0</v>
      </c>
      <c r="P31" s="7">
        <f t="shared" si="2"/>
        <v>0</v>
      </c>
    </row>
    <row r="32" spans="2:16" s="2" customFormat="1" x14ac:dyDescent="0.3">
      <c r="B32" s="12" t="s">
        <v>96</v>
      </c>
      <c r="C32" t="s">
        <v>43</v>
      </c>
      <c r="D32" t="s">
        <v>22</v>
      </c>
      <c r="E32" s="1">
        <v>165</v>
      </c>
      <c r="F32" s="3">
        <f>E32/E5</f>
        <v>2.4826926230926527E-5</v>
      </c>
      <c r="G32">
        <f>ROUNDDOWN(F32*E6,0)</f>
        <v>4</v>
      </c>
      <c r="H32" s="4">
        <v>528855</v>
      </c>
      <c r="I32" s="7">
        <f t="shared" si="3"/>
        <v>3205.181818181818</v>
      </c>
      <c r="J32" s="7">
        <f t="shared" si="0"/>
        <v>12820.727272727272</v>
      </c>
      <c r="K32" s="8">
        <v>78</v>
      </c>
      <c r="L32" s="3">
        <f>K32/E5</f>
        <v>1.1736365127347085E-5</v>
      </c>
      <c r="M32" s="8">
        <f>ROUNDDOWN(L32*E6,0)</f>
        <v>2</v>
      </c>
      <c r="N32" s="4">
        <v>459938</v>
      </c>
      <c r="O32" s="10">
        <f t="shared" si="1"/>
        <v>5896.6410256410254</v>
      </c>
      <c r="P32" s="7">
        <f t="shared" si="2"/>
        <v>11793.282051282051</v>
      </c>
    </row>
    <row r="33" spans="2:16" s="2" customFormat="1" x14ac:dyDescent="0.3">
      <c r="B33" s="12" t="s">
        <v>96</v>
      </c>
      <c r="C33" t="s">
        <v>44</v>
      </c>
      <c r="D33" t="s">
        <v>22</v>
      </c>
      <c r="E33" s="1"/>
      <c r="F33" s="3">
        <f>E33/E5</f>
        <v>0</v>
      </c>
      <c r="G33">
        <f>ROUNDDOWN(F33*E6,0)</f>
        <v>0</v>
      </c>
      <c r="H33" s="4" t="s">
        <v>64</v>
      </c>
      <c r="I33" s="7" t="e">
        <f t="shared" si="3"/>
        <v>#VALUE!</v>
      </c>
      <c r="J33" s="7" t="e">
        <f t="shared" si="0"/>
        <v>#VALUE!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96</v>
      </c>
      <c r="C34" t="s">
        <v>14</v>
      </c>
      <c r="D34" t="s">
        <v>22</v>
      </c>
      <c r="E34" s="1"/>
      <c r="F34" s="3">
        <f>E34/E5</f>
        <v>0</v>
      </c>
      <c r="G34">
        <f>ROUNDDOWN(F34*E6,0)</f>
        <v>0</v>
      </c>
      <c r="H34" s="4" t="s">
        <v>64</v>
      </c>
      <c r="I34" s="7" t="e">
        <f t="shared" si="3"/>
        <v>#VALUE!</v>
      </c>
      <c r="J34" s="7" t="e">
        <f t="shared" si="0"/>
        <v>#VALUE!</v>
      </c>
      <c r="K34" s="8">
        <v>11</v>
      </c>
      <c r="L34" s="3">
        <f>K34/E5</f>
        <v>1.6551284153951018E-6</v>
      </c>
      <c r="M34" s="8">
        <f>ROUNDDOWN(L34*E6,0)</f>
        <v>0</v>
      </c>
      <c r="N34" s="4"/>
      <c r="O34" s="10">
        <f t="shared" si="1"/>
        <v>0</v>
      </c>
      <c r="P34" s="7">
        <f t="shared" si="2"/>
        <v>0</v>
      </c>
    </row>
    <row r="35" spans="2:16" s="2" customFormat="1" x14ac:dyDescent="0.3">
      <c r="B35" s="12" t="s">
        <v>96</v>
      </c>
      <c r="C35" t="s">
        <v>45</v>
      </c>
      <c r="D35" t="s">
        <v>22</v>
      </c>
      <c r="E35" s="1">
        <v>185</v>
      </c>
      <c r="F35" s="3">
        <f>E35/E5</f>
        <v>2.7836250622553983E-5</v>
      </c>
      <c r="G35">
        <f>ROUNDDOWN(F35*E6,0)</f>
        <v>4</v>
      </c>
      <c r="H35" s="4">
        <v>131727</v>
      </c>
      <c r="I35" s="7">
        <f t="shared" si="3"/>
        <v>712.03783783783786</v>
      </c>
      <c r="J35" s="7">
        <f t="shared" si="0"/>
        <v>2848.1513513513514</v>
      </c>
      <c r="K35" s="8"/>
      <c r="L35" s="3">
        <f>K35/E5</f>
        <v>0</v>
      </c>
      <c r="M35" s="8">
        <f>ROUNDDOWN(L35*E6,0)</f>
        <v>0</v>
      </c>
      <c r="N35" s="4">
        <v>2750</v>
      </c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s="12" t="s">
        <v>96</v>
      </c>
      <c r="C36" t="s">
        <v>15</v>
      </c>
      <c r="D36" t="s">
        <v>22</v>
      </c>
      <c r="E36" s="1">
        <v>276</v>
      </c>
      <c r="F36" s="3">
        <f>E36/E5</f>
        <v>4.1528676604458915E-5</v>
      </c>
      <c r="G36">
        <f>ROUNDDOWN(F36*E6,0)</f>
        <v>7</v>
      </c>
      <c r="H36" s="4">
        <v>227858</v>
      </c>
      <c r="I36" s="7">
        <f t="shared" si="3"/>
        <v>825.57246376811599</v>
      </c>
      <c r="J36" s="7">
        <f t="shared" si="0"/>
        <v>5779.007246376812</v>
      </c>
      <c r="K36" s="8">
        <v>283</v>
      </c>
      <c r="L36" s="3">
        <f>K36/E5</f>
        <v>4.2581940141528529E-5</v>
      </c>
      <c r="M36" s="8">
        <f>ROUNDDOWN(L36*E6,0)</f>
        <v>7</v>
      </c>
      <c r="N36" s="4">
        <v>57874</v>
      </c>
      <c r="O36" s="10">
        <f t="shared" si="1"/>
        <v>204.50176678445229</v>
      </c>
      <c r="P36" s="7">
        <f t="shared" si="2"/>
        <v>1431.5123674911661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5130</v>
      </c>
      <c r="G38">
        <f>SUM(G8:G36)</f>
        <v>118</v>
      </c>
      <c r="I38" s="7">
        <f t="shared" si="3"/>
        <v>0</v>
      </c>
      <c r="J38" s="7">
        <f t="shared" si="0"/>
        <v>0</v>
      </c>
      <c r="L38" s="3"/>
      <c r="M38" s="3"/>
      <c r="N38" s="10"/>
      <c r="O38" s="10"/>
    </row>
    <row r="39" spans="2:16" x14ac:dyDescent="0.3">
      <c r="C39" t="s">
        <v>97</v>
      </c>
    </row>
    <row r="40" spans="2:16" x14ac:dyDescent="0.3">
      <c r="C40" t="s">
        <v>92</v>
      </c>
    </row>
  </sheetData>
  <phoneticPr fontId="1" type="noConversion"/>
  <hyperlinks>
    <hyperlink ref="B7" r:id="rId1" location="?s=47" xr:uid="{EB5140ED-D771-4296-8A62-B58FFBC41B1E}"/>
    <hyperlink ref="B8:B36" r:id="rId2" location="?s=47" display="https://www.ic3.gov/Media/PDF/AnnualReport/2016State/StateReport.aspx#?s=47" xr:uid="{5F8B9632-E185-41B8-A5EA-EBD83C779A7C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C32B-77DF-49D8-A922-B39970BB3AB9}">
  <dimension ref="B4:P41"/>
  <sheetViews>
    <sheetView topLeftCell="B7" workbookViewId="0">
      <selection activeCell="F29" sqref="F29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t="s">
        <v>3</v>
      </c>
      <c r="C5" t="s">
        <v>87</v>
      </c>
      <c r="D5" t="s">
        <v>8</v>
      </c>
      <c r="E5" s="15">
        <v>6708799</v>
      </c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t="s">
        <v>19</v>
      </c>
      <c r="C6" t="s">
        <v>88</v>
      </c>
      <c r="D6" t="s">
        <v>8</v>
      </c>
      <c r="E6" s="13">
        <v>179530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89</v>
      </c>
      <c r="C7" t="s">
        <v>26</v>
      </c>
      <c r="D7" t="s">
        <v>22</v>
      </c>
      <c r="E7" s="1">
        <v>264</v>
      </c>
      <c r="F7" s="3">
        <f>E7/E5</f>
        <v>3.9351305650981646E-5</v>
      </c>
      <c r="G7">
        <f>ROUNDDOWN(F7*E6,0)</f>
        <v>7</v>
      </c>
      <c r="H7" s="4">
        <v>591748</v>
      </c>
      <c r="I7" s="7">
        <f>H7/E7</f>
        <v>2241.469696969697</v>
      </c>
      <c r="J7" s="7">
        <f>I7*G7</f>
        <v>15690.28787878788</v>
      </c>
      <c r="K7" s="8">
        <v>70</v>
      </c>
      <c r="L7" s="3">
        <f>K7/E5</f>
        <v>1.0434058316548163E-5</v>
      </c>
      <c r="M7" s="8">
        <f>ROUNDDOWN(L7*E6,0)</f>
        <v>1</v>
      </c>
      <c r="N7" s="4">
        <v>222720</v>
      </c>
      <c r="O7" s="10">
        <f>N7/K7</f>
        <v>3181.7142857142858</v>
      </c>
      <c r="P7" s="7">
        <f>M7*O7</f>
        <v>3181.7142857142858</v>
      </c>
    </row>
    <row r="8" spans="2:16" s="2" customFormat="1" x14ac:dyDescent="0.3">
      <c r="B8" s="12" t="s">
        <v>89</v>
      </c>
      <c r="C8" t="s">
        <v>24</v>
      </c>
      <c r="D8" t="s">
        <v>22</v>
      </c>
      <c r="E8" s="1">
        <v>184</v>
      </c>
      <c r="F8" s="3">
        <f>E8/E5</f>
        <v>2.7426667574926601E-5</v>
      </c>
      <c r="G8">
        <f>ROUNDDOWN(F8*E6,0)</f>
        <v>4</v>
      </c>
      <c r="H8" s="4">
        <v>4251983</v>
      </c>
      <c r="I8" s="7">
        <f>H8/E8</f>
        <v>23108.603260869564</v>
      </c>
      <c r="J8" s="7">
        <f t="shared" ref="J8:J38" si="0">I8*G8</f>
        <v>92434.413043478256</v>
      </c>
      <c r="K8" s="8">
        <v>44</v>
      </c>
      <c r="L8" s="3">
        <f>K8/E5</f>
        <v>6.5585509418302736E-6</v>
      </c>
      <c r="M8" s="8">
        <f>ROUNDDOWN(L8*E6,0)</f>
        <v>1</v>
      </c>
      <c r="N8" s="4">
        <v>577018</v>
      </c>
      <c r="O8" s="10">
        <f t="shared" ref="O8:O36" si="1">N8/K8</f>
        <v>13114.045454545454</v>
      </c>
      <c r="P8" s="7">
        <f t="shared" ref="P8:P36" si="2">M8*O8</f>
        <v>13114.045454545454</v>
      </c>
    </row>
    <row r="9" spans="2:16" s="2" customFormat="1" x14ac:dyDescent="0.3">
      <c r="B9" s="12" t="s">
        <v>89</v>
      </c>
      <c r="C9" t="s">
        <v>27</v>
      </c>
      <c r="D9" t="s">
        <v>22</v>
      </c>
      <c r="E9" s="1"/>
      <c r="F9" s="3">
        <f>E9/E5</f>
        <v>0</v>
      </c>
      <c r="G9">
        <f>ROUNDDOWN(F9*E6,0)</f>
        <v>0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89</v>
      </c>
      <c r="C10" t="s">
        <v>28</v>
      </c>
      <c r="D10" t="s">
        <v>22</v>
      </c>
      <c r="E10" s="1">
        <v>260</v>
      </c>
      <c r="F10" s="3">
        <f>E10/E5</f>
        <v>3.8755073747178893E-5</v>
      </c>
      <c r="G10">
        <f>ROUNDDOWN(F10*E6,0)</f>
        <v>6</v>
      </c>
      <c r="H10" s="4">
        <v>2450680</v>
      </c>
      <c r="I10" s="7">
        <f t="shared" si="3"/>
        <v>9425.6923076923085</v>
      </c>
      <c r="J10" s="7">
        <f t="shared" si="0"/>
        <v>56554.153846153851</v>
      </c>
      <c r="K10" s="8">
        <v>88</v>
      </c>
      <c r="L10" s="3">
        <f>K10/E5</f>
        <v>1.3117101883660547E-5</v>
      </c>
      <c r="M10" s="8">
        <f>ROUNDDOWN(L10*E6,0)</f>
        <v>2</v>
      </c>
      <c r="N10" s="4">
        <v>682875</v>
      </c>
      <c r="O10" s="10">
        <f t="shared" si="1"/>
        <v>7759.943181818182</v>
      </c>
      <c r="P10" s="7">
        <f t="shared" si="2"/>
        <v>15519.886363636364</v>
      </c>
    </row>
    <row r="11" spans="2:16" s="2" customFormat="1" x14ac:dyDescent="0.3">
      <c r="B11" s="12" t="s">
        <v>89</v>
      </c>
      <c r="C11" t="s">
        <v>29</v>
      </c>
      <c r="D11" t="s">
        <v>22</v>
      </c>
      <c r="E11" s="1"/>
      <c r="F11" s="3">
        <f>E11/E5</f>
        <v>0</v>
      </c>
      <c r="G11">
        <f>ROUNDDOWN(F11*E6,0)</f>
        <v>0</v>
      </c>
      <c r="H11" s="6"/>
      <c r="I11" s="7" t="e">
        <f t="shared" si="3"/>
        <v>#DIV/0!</v>
      </c>
      <c r="J11" s="7" t="e">
        <f t="shared" si="0"/>
        <v>#DIV/0!</v>
      </c>
      <c r="K11" s="8"/>
      <c r="L11" s="3">
        <f>K11/E5</f>
        <v>0</v>
      </c>
      <c r="M11" s="8">
        <f>ROUNDDOWN(L11*E6,0)</f>
        <v>0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s="12" t="s">
        <v>89</v>
      </c>
      <c r="C12" t="s">
        <v>5</v>
      </c>
      <c r="D12" t="s">
        <v>22</v>
      </c>
      <c r="E12" s="1">
        <v>19</v>
      </c>
      <c r="F12" s="3">
        <f>E12/E5</f>
        <v>2.8321015430630728E-6</v>
      </c>
      <c r="G12">
        <f>ROUNDDOWN(F12*E6,0)</f>
        <v>0</v>
      </c>
      <c r="H12" s="5">
        <v>0</v>
      </c>
      <c r="I12" s="7">
        <f>H12/E12</f>
        <v>0</v>
      </c>
      <c r="J12" s="7">
        <f t="shared" si="0"/>
        <v>0</v>
      </c>
      <c r="K12" s="8">
        <v>3</v>
      </c>
      <c r="L12" s="3">
        <f>K12/E5</f>
        <v>4.4717392785206412E-7</v>
      </c>
      <c r="M12" s="8">
        <f>ROUNDDOWN(L12*E6,0)</f>
        <v>0</v>
      </c>
      <c r="N12" s="10">
        <v>0</v>
      </c>
      <c r="O12" s="10">
        <f t="shared" si="1"/>
        <v>0</v>
      </c>
      <c r="P12" s="7">
        <f t="shared" si="2"/>
        <v>0</v>
      </c>
    </row>
    <row r="13" spans="2:16" s="2" customFormat="1" x14ac:dyDescent="0.3">
      <c r="B13" s="12" t="s">
        <v>89</v>
      </c>
      <c r="C13" t="s">
        <v>6</v>
      </c>
      <c r="D13" t="s">
        <v>22</v>
      </c>
      <c r="E13" s="1">
        <v>53</v>
      </c>
      <c r="F13" s="3">
        <f>E13/E5</f>
        <v>7.9000727253864656E-6</v>
      </c>
      <c r="G13">
        <f>ROUNDDOWN(F13*E6,0)</f>
        <v>1</v>
      </c>
      <c r="H13" s="6">
        <v>967932</v>
      </c>
      <c r="I13" s="16">
        <f>H13/E13</f>
        <v>18262.867924528302</v>
      </c>
      <c r="J13" s="7">
        <f t="shared" si="0"/>
        <v>18262.867924528302</v>
      </c>
      <c r="K13" s="8">
        <v>6</v>
      </c>
      <c r="L13" s="3">
        <f>K13/E5</f>
        <v>8.9434785570412823E-7</v>
      </c>
      <c r="M13" s="8">
        <f>ROUNDDOWN(L13*E6,0)</f>
        <v>0</v>
      </c>
      <c r="N13" s="10">
        <v>0</v>
      </c>
      <c r="O13" s="10">
        <f t="shared" si="1"/>
        <v>0</v>
      </c>
      <c r="P13" s="7">
        <f t="shared" si="2"/>
        <v>0</v>
      </c>
    </row>
    <row r="14" spans="2:16" s="2" customFormat="1" x14ac:dyDescent="0.3">
      <c r="B14" s="12" t="s">
        <v>89</v>
      </c>
      <c r="C14" t="s">
        <v>30</v>
      </c>
      <c r="D14" t="s">
        <v>22</v>
      </c>
      <c r="E14" s="1">
        <v>257</v>
      </c>
      <c r="F14" s="3">
        <f>E14/E5</f>
        <v>3.8307899819326828E-5</v>
      </c>
      <c r="G14">
        <f>ROUNDDOWN(F14*E6,0)</f>
        <v>6</v>
      </c>
      <c r="H14" s="4">
        <v>346353</v>
      </c>
      <c r="I14" s="7">
        <f t="shared" si="3"/>
        <v>1347.6770428015564</v>
      </c>
      <c r="J14" s="7">
        <f t="shared" si="0"/>
        <v>8086.0622568093386</v>
      </c>
      <c r="K14" s="8">
        <v>76</v>
      </c>
      <c r="L14" s="3">
        <f>K14/E5</f>
        <v>1.1328406172252291E-5</v>
      </c>
      <c r="M14" s="8">
        <f>ROUNDDOWN(L14*E6,0)</f>
        <v>2</v>
      </c>
      <c r="N14" s="4">
        <v>49381</v>
      </c>
      <c r="O14" s="10">
        <f t="shared" si="1"/>
        <v>649.75</v>
      </c>
      <c r="P14" s="7">
        <f t="shared" si="2"/>
        <v>1299.5</v>
      </c>
    </row>
    <row r="15" spans="2:16" s="2" customFormat="1" x14ac:dyDescent="0.3">
      <c r="B15" s="12" t="s">
        <v>89</v>
      </c>
      <c r="C15" t="s">
        <v>9</v>
      </c>
      <c r="D15" t="s">
        <v>22</v>
      </c>
      <c r="E15" s="1">
        <v>290</v>
      </c>
      <c r="F15" s="3">
        <f>E15/E5</f>
        <v>4.3226813025699535E-5</v>
      </c>
      <c r="G15">
        <f>ROUNDDOWN(F15*E6,0)</f>
        <v>7</v>
      </c>
      <c r="H15" s="4">
        <v>171336</v>
      </c>
      <c r="I15" s="7">
        <f t="shared" si="3"/>
        <v>590.81379310344823</v>
      </c>
      <c r="J15" s="7">
        <f t="shared" si="0"/>
        <v>4135.6965517241379</v>
      </c>
      <c r="K15" s="8">
        <v>32</v>
      </c>
      <c r="L15" s="3">
        <f>K15/E5</f>
        <v>4.7698552304220175E-6</v>
      </c>
      <c r="M15" s="8">
        <f>ROUNDDOWN(L15*E6,0)</f>
        <v>0</v>
      </c>
      <c r="N15" s="4">
        <v>10895</v>
      </c>
      <c r="O15" s="10">
        <f t="shared" si="1"/>
        <v>340.46875</v>
      </c>
      <c r="P15" s="7">
        <f t="shared" si="2"/>
        <v>0</v>
      </c>
    </row>
    <row r="16" spans="2:16" s="2" customFormat="1" x14ac:dyDescent="0.3">
      <c r="B16" s="12" t="s">
        <v>89</v>
      </c>
      <c r="C16" t="s">
        <v>31</v>
      </c>
      <c r="D16" t="s">
        <v>22</v>
      </c>
      <c r="E16" s="1">
        <v>174</v>
      </c>
      <c r="F16" s="3">
        <f>E16/E5</f>
        <v>2.5936087815419721E-5</v>
      </c>
      <c r="G16">
        <f>ROUNDDOWN(F16*E6,0)</f>
        <v>4</v>
      </c>
      <c r="H16" s="4">
        <v>118043</v>
      </c>
      <c r="I16" s="7">
        <f t="shared" si="3"/>
        <v>678.40804597701151</v>
      </c>
      <c r="J16" s="7">
        <f t="shared" si="0"/>
        <v>2713.632183908046</v>
      </c>
      <c r="K16" s="8">
        <v>11</v>
      </c>
      <c r="L16" s="3">
        <f>K16/E5</f>
        <v>1.6396377354575684E-6</v>
      </c>
      <c r="M16" s="8">
        <f>ROUNDDOWN(L16*E6,0)</f>
        <v>0</v>
      </c>
      <c r="N16" s="4">
        <v>17516</v>
      </c>
      <c r="O16" s="10">
        <f t="shared" si="1"/>
        <v>1592.3636363636363</v>
      </c>
      <c r="P16" s="7">
        <f t="shared" si="2"/>
        <v>0</v>
      </c>
    </row>
    <row r="17" spans="2:16" s="2" customFormat="1" x14ac:dyDescent="0.3">
      <c r="B17" s="12" t="s">
        <v>89</v>
      </c>
      <c r="C17" t="s">
        <v>32</v>
      </c>
      <c r="D17" t="s">
        <v>22</v>
      </c>
      <c r="E17" s="1"/>
      <c r="F17" s="3">
        <f>E17/E5</f>
        <v>0</v>
      </c>
      <c r="G17">
        <f>ROUNDDOWN(F17*E6,0)</f>
        <v>0</v>
      </c>
      <c r="H17" s="4"/>
      <c r="I17" s="7" t="e">
        <f t="shared" si="3"/>
        <v>#DIV/0!</v>
      </c>
      <c r="J17" s="7" t="e">
        <f t="shared" si="0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89</v>
      </c>
      <c r="C18" t="s">
        <v>33</v>
      </c>
      <c r="D18" t="s">
        <v>22</v>
      </c>
      <c r="E18" s="1">
        <v>38</v>
      </c>
      <c r="F18" s="3">
        <f>E18/E5</f>
        <v>5.6642030861261455E-6</v>
      </c>
      <c r="G18">
        <f>ROUNDDOWN(F18*E6,0)</f>
        <v>1</v>
      </c>
      <c r="H18" s="4">
        <v>34455</v>
      </c>
      <c r="I18" s="7">
        <f t="shared" si="3"/>
        <v>906.71052631578948</v>
      </c>
      <c r="J18" s="7">
        <f t="shared" si="0"/>
        <v>906.71052631578948</v>
      </c>
      <c r="K18" s="8">
        <v>12</v>
      </c>
      <c r="L18" s="3">
        <f>K18/E5</f>
        <v>1.7886957114082565E-6</v>
      </c>
      <c r="M18" s="8">
        <f>ROUNDDOWN(L18*E6,0)</f>
        <v>0</v>
      </c>
      <c r="N18" s="4">
        <v>8398</v>
      </c>
      <c r="O18" s="10">
        <f t="shared" si="1"/>
        <v>699.83333333333337</v>
      </c>
      <c r="P18" s="7">
        <f t="shared" si="2"/>
        <v>0</v>
      </c>
    </row>
    <row r="19" spans="2:16" s="2" customFormat="1" x14ac:dyDescent="0.3">
      <c r="B19" s="12" t="s">
        <v>89</v>
      </c>
      <c r="C19" t="s">
        <v>34</v>
      </c>
      <c r="D19" t="s">
        <v>22</v>
      </c>
      <c r="E19" s="1">
        <v>332</v>
      </c>
      <c r="F19" s="3">
        <f>E19/E5</f>
        <v>4.9487248015628429E-5</v>
      </c>
      <c r="G19">
        <f>ROUNDDOWN(F19*E6,0)</f>
        <v>8</v>
      </c>
      <c r="H19" s="4">
        <v>1241184</v>
      </c>
      <c r="I19" s="7">
        <f t="shared" si="3"/>
        <v>3738.5060240963853</v>
      </c>
      <c r="J19" s="7">
        <f t="shared" si="0"/>
        <v>29908.048192771083</v>
      </c>
      <c r="K19" s="8">
        <v>98</v>
      </c>
      <c r="L19" s="3">
        <f>K19/E5</f>
        <v>1.4607681643167428E-5</v>
      </c>
      <c r="M19" s="8">
        <f>ROUNDDOWN(L19*E6,0)</f>
        <v>2</v>
      </c>
      <c r="N19" s="4">
        <v>677427</v>
      </c>
      <c r="O19" s="10">
        <f t="shared" si="1"/>
        <v>6912.5204081632655</v>
      </c>
      <c r="P19" s="7">
        <f t="shared" si="2"/>
        <v>13825.040816326531</v>
      </c>
    </row>
    <row r="20" spans="2:16" s="2" customFormat="1" x14ac:dyDescent="0.3">
      <c r="B20" s="12" t="s">
        <v>89</v>
      </c>
      <c r="C20" t="s">
        <v>35</v>
      </c>
      <c r="D20" t="s">
        <v>22</v>
      </c>
      <c r="E20" s="1">
        <v>34</v>
      </c>
      <c r="F20" s="3">
        <f>E20/E5</f>
        <v>5.0679711823233932E-6</v>
      </c>
      <c r="G20">
        <f>ROUNDDOWN(F20*E6,0)</f>
        <v>0</v>
      </c>
      <c r="H20" s="4">
        <v>260468</v>
      </c>
      <c r="I20" s="7">
        <f t="shared" si="3"/>
        <v>7660.8235294117649</v>
      </c>
      <c r="J20" s="7">
        <f t="shared" si="0"/>
        <v>0</v>
      </c>
      <c r="K20" s="8">
        <v>16</v>
      </c>
      <c r="L20" s="3">
        <f>K20/E5</f>
        <v>2.3849276152110088E-6</v>
      </c>
      <c r="M20" s="8">
        <f>ROUNDDOWN(L20*E6,0)</f>
        <v>0</v>
      </c>
      <c r="N20" s="4">
        <v>143560</v>
      </c>
      <c r="O20" s="10">
        <f t="shared" si="1"/>
        <v>8972.5</v>
      </c>
      <c r="P20" s="7">
        <f t="shared" si="2"/>
        <v>0</v>
      </c>
    </row>
    <row r="21" spans="2:16" s="2" customFormat="1" x14ac:dyDescent="0.3">
      <c r="B21" s="12" t="s">
        <v>89</v>
      </c>
      <c r="C21" t="s">
        <v>36</v>
      </c>
      <c r="D21" t="s">
        <v>22</v>
      </c>
      <c r="E21" s="1">
        <v>77</v>
      </c>
      <c r="F21" s="3">
        <f>E21/E5</f>
        <v>1.1477464148202979E-5</v>
      </c>
      <c r="G21">
        <f>ROUNDDOWN(F21*E6,0)</f>
        <v>2</v>
      </c>
      <c r="H21" s="4">
        <v>121151</v>
      </c>
      <c r="I21" s="7">
        <f t="shared" si="3"/>
        <v>1573.3896103896104</v>
      </c>
      <c r="J21" s="7">
        <f t="shared" si="0"/>
        <v>3146.7792207792209</v>
      </c>
      <c r="K21" s="8">
        <v>21</v>
      </c>
      <c r="L21" s="3">
        <f>K21/E5</f>
        <v>3.1302174949644489E-6</v>
      </c>
      <c r="M21" s="8">
        <f>ROUNDDOWN(L21*E6,0)</f>
        <v>0</v>
      </c>
      <c r="N21" s="4">
        <v>83881</v>
      </c>
      <c r="O21" s="10">
        <f t="shared" si="1"/>
        <v>3994.3333333333335</v>
      </c>
      <c r="P21" s="7">
        <f t="shared" si="2"/>
        <v>0</v>
      </c>
    </row>
    <row r="22" spans="2:16" s="2" customFormat="1" x14ac:dyDescent="0.3">
      <c r="B22" s="12" t="s">
        <v>89</v>
      </c>
      <c r="C22" t="s">
        <v>10</v>
      </c>
      <c r="D22" t="s">
        <v>22</v>
      </c>
      <c r="E22" s="1">
        <v>43</v>
      </c>
      <c r="F22" s="3">
        <f>E22/E5</f>
        <v>6.4094929658795861E-6</v>
      </c>
      <c r="G22">
        <f>ROUNDDOWN(F22*E6,0)</f>
        <v>1</v>
      </c>
      <c r="H22" s="4">
        <v>13325</v>
      </c>
      <c r="I22" s="7">
        <f t="shared" si="3"/>
        <v>309.88372093023258</v>
      </c>
      <c r="J22" s="7">
        <f t="shared" si="0"/>
        <v>309.88372093023258</v>
      </c>
      <c r="K22" s="8">
        <v>5</v>
      </c>
      <c r="L22" s="3">
        <f>K22/E5</f>
        <v>7.4528987975344026E-7</v>
      </c>
      <c r="M22" s="8">
        <f>ROUNDDOWN(L22*E6,0)</f>
        <v>0</v>
      </c>
      <c r="N22" s="4">
        <v>1033</v>
      </c>
      <c r="O22" s="10">
        <f t="shared" si="1"/>
        <v>206.6</v>
      </c>
      <c r="P22" s="7">
        <f t="shared" si="2"/>
        <v>0</v>
      </c>
    </row>
    <row r="23" spans="2:16" s="2" customFormat="1" x14ac:dyDescent="0.3">
      <c r="B23" s="12" t="s">
        <v>89</v>
      </c>
      <c r="C23" t="s">
        <v>37</v>
      </c>
      <c r="D23" t="s">
        <v>22</v>
      </c>
      <c r="E23" s="1"/>
      <c r="F23" s="3">
        <f>E23/E5</f>
        <v>0</v>
      </c>
      <c r="G23">
        <f>ROUNDDOWN(F23*E6,0)</f>
        <v>0</v>
      </c>
      <c r="H23" s="4"/>
      <c r="I23" s="7" t="e">
        <f t="shared" si="3"/>
        <v>#DIV/0!</v>
      </c>
      <c r="J23" s="7" t="e">
        <f t="shared" si="0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89</v>
      </c>
      <c r="C24" t="s">
        <v>38</v>
      </c>
      <c r="D24" t="s">
        <v>22</v>
      </c>
      <c r="E24" s="1"/>
      <c r="F24" s="3">
        <f>E24/E5</f>
        <v>0</v>
      </c>
      <c r="G24">
        <f>ROUNDDOWN(F24*E6,0)</f>
        <v>0</v>
      </c>
      <c r="H24" s="4"/>
      <c r="I24" s="7" t="e">
        <f t="shared" si="3"/>
        <v>#DIV/0!</v>
      </c>
      <c r="J24" s="7" t="e">
        <f t="shared" si="0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89</v>
      </c>
      <c r="C25" t="s">
        <v>39</v>
      </c>
      <c r="D25" t="s">
        <v>22</v>
      </c>
      <c r="E25" s="1">
        <v>155</v>
      </c>
      <c r="F25" s="3">
        <f>E25/E5</f>
        <v>2.3103986272356647E-5</v>
      </c>
      <c r="G25">
        <f>ROUNDDOWN(F25*E6,0)</f>
        <v>4</v>
      </c>
      <c r="H25" s="4">
        <v>0</v>
      </c>
      <c r="I25" s="7">
        <f t="shared" si="3"/>
        <v>0</v>
      </c>
      <c r="J25" s="7">
        <f t="shared" si="0"/>
        <v>0</v>
      </c>
      <c r="K25" s="8">
        <v>157</v>
      </c>
      <c r="L25" s="3">
        <f>K25/E5</f>
        <v>2.3402102224258024E-5</v>
      </c>
      <c r="M25" s="8">
        <f>ROUNDDOWN(L25*E6,0)</f>
        <v>4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89</v>
      </c>
      <c r="C26" t="s">
        <v>40</v>
      </c>
      <c r="D26" t="s">
        <v>22</v>
      </c>
      <c r="E26" s="1">
        <v>1547</v>
      </c>
      <c r="F26" s="3">
        <f>E26/E5</f>
        <v>2.305926887957144E-4</v>
      </c>
      <c r="G26">
        <f>ROUNDDOWN(F26*E6,0)</f>
        <v>41</v>
      </c>
      <c r="H26" s="4">
        <v>2217462</v>
      </c>
      <c r="I26" s="7">
        <f t="shared" si="3"/>
        <v>1433.3949579831933</v>
      </c>
      <c r="J26" s="7">
        <f t="shared" si="0"/>
        <v>58769.193277310929</v>
      </c>
      <c r="K26" s="8">
        <v>480</v>
      </c>
      <c r="L26" s="3">
        <f>K26/E5</f>
        <v>7.1547828456330255E-5</v>
      </c>
      <c r="M26" s="8">
        <f>ROUNDDOWN(L26*E6,0)</f>
        <v>12</v>
      </c>
      <c r="N26" s="4">
        <v>906871</v>
      </c>
      <c r="O26" s="10">
        <f t="shared" si="1"/>
        <v>1889.3145833333333</v>
      </c>
      <c r="P26" s="7">
        <f t="shared" si="2"/>
        <v>22671.775000000001</v>
      </c>
    </row>
    <row r="27" spans="2:16" s="2" customFormat="1" x14ac:dyDescent="0.3">
      <c r="B27" s="12" t="s">
        <v>89</v>
      </c>
      <c r="C27" t="s">
        <v>41</v>
      </c>
      <c r="D27" t="s">
        <v>22</v>
      </c>
      <c r="E27" s="1">
        <v>207</v>
      </c>
      <c r="F27" s="3">
        <f>E27/E5</f>
        <v>3.0855001021792428E-5</v>
      </c>
      <c r="G27">
        <f>ROUNDDOWN(F27*E6,0)</f>
        <v>5</v>
      </c>
      <c r="H27" s="4">
        <v>297647</v>
      </c>
      <c r="I27" s="7">
        <f t="shared" si="3"/>
        <v>1437.9082125603866</v>
      </c>
      <c r="J27" s="7">
        <f t="shared" si="0"/>
        <v>7189.5410628019326</v>
      </c>
      <c r="K27" s="8">
        <v>68</v>
      </c>
      <c r="L27" s="3">
        <f>K27/E5</f>
        <v>1.0135942364646786E-5</v>
      </c>
      <c r="M27" s="8">
        <f>ROUNDDOWN(L27*E6,0)</f>
        <v>1</v>
      </c>
      <c r="N27" s="4">
        <v>6964</v>
      </c>
      <c r="O27" s="10">
        <f>N27/K27</f>
        <v>102.41176470588235</v>
      </c>
      <c r="P27" s="7">
        <f t="shared" si="2"/>
        <v>102.41176470588235</v>
      </c>
    </row>
    <row r="28" spans="2:16" s="2" customFormat="1" x14ac:dyDescent="0.3">
      <c r="B28" s="12" t="s">
        <v>89</v>
      </c>
      <c r="C28" t="s">
        <v>42</v>
      </c>
      <c r="D28" t="s">
        <v>22</v>
      </c>
      <c r="E28" s="1">
        <v>321</v>
      </c>
      <c r="F28" s="3">
        <f>E28/E5</f>
        <v>4.7847610280170865E-5</v>
      </c>
      <c r="G28">
        <f>ROUNDDOWN(F28*E6,0)</f>
        <v>8</v>
      </c>
      <c r="H28" s="4">
        <v>702742</v>
      </c>
      <c r="I28" s="7">
        <f t="shared" si="3"/>
        <v>2189.2274143302179</v>
      </c>
      <c r="J28" s="7">
        <f>I28*G28</f>
        <v>17513.819314641743</v>
      </c>
      <c r="K28" s="8">
        <v>86</v>
      </c>
      <c r="L28" s="3">
        <f>K28/E5</f>
        <v>1.2818985931759172E-5</v>
      </c>
      <c r="M28" s="8">
        <f>ROUNDDOWN(L28*E6,0)</f>
        <v>2</v>
      </c>
      <c r="N28" s="4">
        <v>92394</v>
      </c>
      <c r="O28" s="10">
        <f t="shared" si="1"/>
        <v>1074.3488372093022</v>
      </c>
      <c r="P28" s="7">
        <f>M28*O28</f>
        <v>2148.6976744186045</v>
      </c>
    </row>
    <row r="29" spans="2:16" s="2" customFormat="1" x14ac:dyDescent="0.3">
      <c r="B29" s="12" t="s">
        <v>89</v>
      </c>
      <c r="C29" t="s">
        <v>11</v>
      </c>
      <c r="D29" t="s">
        <v>22</v>
      </c>
      <c r="E29" s="1">
        <v>490</v>
      </c>
      <c r="F29" s="3">
        <f>E29/E5</f>
        <v>7.3038408215837138E-5</v>
      </c>
      <c r="G29">
        <f>ROUNDDOWN(F29*E6,0)</f>
        <v>13</v>
      </c>
      <c r="H29" s="4">
        <v>461249</v>
      </c>
      <c r="I29" s="7">
        <f t="shared" si="3"/>
        <v>941.32448979591834</v>
      </c>
      <c r="J29" s="7">
        <f t="shared" si="0"/>
        <v>12237.218367346939</v>
      </c>
      <c r="K29" s="8">
        <v>132</v>
      </c>
      <c r="L29" s="3">
        <f>K29/E5</f>
        <v>1.9675652825490823E-5</v>
      </c>
      <c r="M29" s="8">
        <f>ROUNDDOWN(L29*E6,0)</f>
        <v>3</v>
      </c>
      <c r="N29" s="4">
        <v>180877</v>
      </c>
      <c r="O29" s="10">
        <f t="shared" si="1"/>
        <v>1370.280303030303</v>
      </c>
      <c r="P29" s="7">
        <f t="shared" si="2"/>
        <v>4110.840909090909</v>
      </c>
    </row>
    <row r="30" spans="2:16" s="2" customFormat="1" x14ac:dyDescent="0.3">
      <c r="B30" s="12" t="s">
        <v>89</v>
      </c>
      <c r="C30" t="s">
        <v>12</v>
      </c>
      <c r="D30" t="s">
        <v>22</v>
      </c>
      <c r="E30" s="1">
        <v>347</v>
      </c>
      <c r="F30" s="3">
        <f>E30/E5</f>
        <v>5.1723117654888754E-5</v>
      </c>
      <c r="G30">
        <f>ROUNDDOWN(F30*E6,0)</f>
        <v>9</v>
      </c>
      <c r="H30" s="4">
        <v>133594</v>
      </c>
      <c r="I30" s="7">
        <f t="shared" si="3"/>
        <v>384.9971181556196</v>
      </c>
      <c r="J30" s="7">
        <f t="shared" si="0"/>
        <v>3464.9740634005766</v>
      </c>
      <c r="K30" s="8">
        <v>57</v>
      </c>
      <c r="L30" s="3">
        <f>K30/E5</f>
        <v>8.4963046291892187E-6</v>
      </c>
      <c r="M30" s="8">
        <f>ROUNDDOWN(L30*E6,0)</f>
        <v>1</v>
      </c>
      <c r="N30" s="4">
        <v>18601</v>
      </c>
      <c r="O30" s="10">
        <f t="shared" si="1"/>
        <v>326.33333333333331</v>
      </c>
      <c r="P30" s="7">
        <f t="shared" si="2"/>
        <v>326.33333333333331</v>
      </c>
    </row>
    <row r="31" spans="2:16" s="2" customFormat="1" x14ac:dyDescent="0.3">
      <c r="B31" s="12" t="s">
        <v>89</v>
      </c>
      <c r="C31" t="s">
        <v>13</v>
      </c>
      <c r="D31" t="s">
        <v>22</v>
      </c>
      <c r="E31" s="1">
        <v>33</v>
      </c>
      <c r="F31" s="3">
        <f>E31/E5</f>
        <v>4.9189132063727058E-6</v>
      </c>
      <c r="G31">
        <f>ROUNDDOWN(F31*E6,0)</f>
        <v>0</v>
      </c>
      <c r="H31" s="4">
        <v>95411</v>
      </c>
      <c r="I31" s="7">
        <f>H31/E31</f>
        <v>2891.242424242424</v>
      </c>
      <c r="J31" s="7">
        <f t="shared" si="0"/>
        <v>0</v>
      </c>
      <c r="K31" s="8">
        <v>2</v>
      </c>
      <c r="L31" s="3">
        <f>K31/E5</f>
        <v>2.9811595190137609E-7</v>
      </c>
      <c r="M31" s="8">
        <f>ROUNDDOWN(L31*E6,0)</f>
        <v>0</v>
      </c>
      <c r="N31" s="4">
        <v>50000</v>
      </c>
      <c r="O31" s="10">
        <f t="shared" si="1"/>
        <v>25000</v>
      </c>
      <c r="P31" s="7">
        <f t="shared" si="2"/>
        <v>0</v>
      </c>
    </row>
    <row r="32" spans="2:16" s="2" customFormat="1" x14ac:dyDescent="0.3">
      <c r="B32" s="12" t="s">
        <v>89</v>
      </c>
      <c r="C32" t="s">
        <v>43</v>
      </c>
      <c r="D32" t="s">
        <v>22</v>
      </c>
      <c r="E32" s="1">
        <v>148</v>
      </c>
      <c r="F32" s="3">
        <f>E32/E5</f>
        <v>2.2060580440701829E-5</v>
      </c>
      <c r="G32">
        <f>ROUNDDOWN(F32*E6,0)</f>
        <v>3</v>
      </c>
      <c r="H32" s="4">
        <v>262428</v>
      </c>
      <c r="I32" s="7">
        <f t="shared" si="3"/>
        <v>1773.1621621621621</v>
      </c>
      <c r="J32" s="7">
        <f t="shared" si="0"/>
        <v>5319.4864864864867</v>
      </c>
      <c r="K32" s="8">
        <v>78</v>
      </c>
      <c r="L32" s="3">
        <f>K32/E5</f>
        <v>1.1626522124153668E-5</v>
      </c>
      <c r="M32" s="8">
        <f>ROUNDDOWN(L32*E6,0)</f>
        <v>2</v>
      </c>
      <c r="N32" s="4">
        <v>454840</v>
      </c>
      <c r="O32" s="10">
        <f t="shared" si="1"/>
        <v>5831.2820512820517</v>
      </c>
      <c r="P32" s="7">
        <f t="shared" si="2"/>
        <v>11662.564102564103</v>
      </c>
    </row>
    <row r="33" spans="2:16" s="2" customFormat="1" x14ac:dyDescent="0.3">
      <c r="B33" s="12" t="s">
        <v>89</v>
      </c>
      <c r="C33" t="s">
        <v>44</v>
      </c>
      <c r="D33" t="s">
        <v>22</v>
      </c>
      <c r="E33" s="1"/>
      <c r="F33" s="3">
        <f>E33/E5</f>
        <v>0</v>
      </c>
      <c r="G33">
        <f>ROUNDDOWN(F33*E6,0)</f>
        <v>0</v>
      </c>
      <c r="H33" s="4"/>
      <c r="I33" s="7" t="e">
        <f t="shared" si="3"/>
        <v>#DIV/0!</v>
      </c>
      <c r="J33" s="7" t="e">
        <f t="shared" si="0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89</v>
      </c>
      <c r="C34" t="s">
        <v>14</v>
      </c>
      <c r="D34" t="s">
        <v>22</v>
      </c>
      <c r="E34" s="1">
        <v>0</v>
      </c>
      <c r="F34" s="3">
        <f>E34/E5</f>
        <v>0</v>
      </c>
      <c r="G34">
        <f>ROUNDDOWN(F34*E6,0)</f>
        <v>0</v>
      </c>
      <c r="H34" s="4">
        <v>0</v>
      </c>
      <c r="I34" s="7" t="e">
        <f t="shared" si="3"/>
        <v>#DIV/0!</v>
      </c>
      <c r="J34" s="7" t="e">
        <f t="shared" si="0"/>
        <v>#DIV/0!</v>
      </c>
      <c r="K34" s="8">
        <v>0</v>
      </c>
      <c r="L34" s="3">
        <f>K34/E5</f>
        <v>0</v>
      </c>
      <c r="M34" s="8">
        <f>ROUNDDOWN(L34*E6,0)</f>
        <v>0</v>
      </c>
      <c r="N34" s="4">
        <v>0</v>
      </c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s="12" t="s">
        <v>89</v>
      </c>
      <c r="C35" t="s">
        <v>45</v>
      </c>
      <c r="D35" t="s">
        <v>22</v>
      </c>
      <c r="E35" s="1">
        <v>190</v>
      </c>
      <c r="F35" s="3">
        <f>E35/E5</f>
        <v>2.8321015430630727E-5</v>
      </c>
      <c r="G35">
        <f>ROUNDDOWN(F35*E6,0)</f>
        <v>5</v>
      </c>
      <c r="H35" s="4">
        <v>168911</v>
      </c>
      <c r="I35" s="7">
        <f t="shared" si="3"/>
        <v>889.00526315789477</v>
      </c>
      <c r="J35" s="7">
        <f t="shared" si="0"/>
        <v>4445.0263157894742</v>
      </c>
      <c r="K35" s="8">
        <v>14</v>
      </c>
      <c r="L35" s="3">
        <f>K35/E5</f>
        <v>2.0868116633096326E-6</v>
      </c>
      <c r="M35" s="8">
        <f>ROUNDDOWN(L35*E6,0)</f>
        <v>0</v>
      </c>
      <c r="N35" s="4">
        <v>8331</v>
      </c>
      <c r="O35" s="10">
        <f t="shared" si="1"/>
        <v>595.07142857142856</v>
      </c>
      <c r="P35" s="7">
        <f t="shared" si="2"/>
        <v>0</v>
      </c>
    </row>
    <row r="36" spans="2:16" s="2" customFormat="1" x14ac:dyDescent="0.3">
      <c r="B36" s="12" t="s">
        <v>89</v>
      </c>
      <c r="C36" t="s">
        <v>15</v>
      </c>
      <c r="D36" t="s">
        <v>22</v>
      </c>
      <c r="E36" s="1">
        <v>230</v>
      </c>
      <c r="F36" s="3">
        <f>E36/E5</f>
        <v>3.4283334468658251E-5</v>
      </c>
      <c r="G36">
        <f>ROUNDDOWN(F36*E6,0)</f>
        <v>6</v>
      </c>
      <c r="H36" s="4">
        <v>96901</v>
      </c>
      <c r="I36" s="7">
        <f t="shared" si="3"/>
        <v>421.30869565217392</v>
      </c>
      <c r="J36" s="7">
        <f t="shared" si="0"/>
        <v>2527.8521739130438</v>
      </c>
      <c r="K36" s="8">
        <v>112</v>
      </c>
      <c r="L36" s="3">
        <f>K36/E5</f>
        <v>1.6694493306477061E-5</v>
      </c>
      <c r="M36" s="8">
        <f>ROUNDDOWN(L36*E6,0)</f>
        <v>2</v>
      </c>
      <c r="N36" s="4">
        <v>98776</v>
      </c>
      <c r="O36" s="10">
        <f t="shared" si="1"/>
        <v>881.92857142857144</v>
      </c>
      <c r="P36" s="7">
        <f t="shared" si="2"/>
        <v>1763.8571428571429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5693</v>
      </c>
      <c r="G38">
        <f>SUM(G8:G36)</f>
        <v>134</v>
      </c>
      <c r="I38" s="7">
        <f t="shared" si="3"/>
        <v>0</v>
      </c>
      <c r="J38" s="7">
        <f t="shared" si="0"/>
        <v>0</v>
      </c>
      <c r="L38" s="3"/>
      <c r="M38" s="3"/>
      <c r="N38" s="10"/>
      <c r="O38" s="10"/>
    </row>
    <row r="40" spans="2:16" x14ac:dyDescent="0.3">
      <c r="C40" t="s">
        <v>92</v>
      </c>
    </row>
    <row r="41" spans="2:16" x14ac:dyDescent="0.3">
      <c r="C41" t="s">
        <v>93</v>
      </c>
    </row>
  </sheetData>
  <phoneticPr fontId="1" type="noConversion"/>
  <hyperlinks>
    <hyperlink ref="B7" r:id="rId1" location="?s=47" xr:uid="{E8D09D7D-A7F8-45C4-AA7C-156342FA91C4}"/>
    <hyperlink ref="B8:B36" r:id="rId2" location="?s=47" display="https://www.ic3.gov/Media/PDF/AnnualReport/2017State/StateReport.aspx#?s=47" xr:uid="{40C9B3BA-1402-46C8-8DE6-115021A522CE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F665-8045-46B2-805C-B8E0D86E609D}">
  <dimension ref="B4:P39"/>
  <sheetViews>
    <sheetView topLeftCell="A4" workbookViewId="0">
      <selection activeCell="F29" sqref="F29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t="s">
        <v>3</v>
      </c>
      <c r="C5" t="s">
        <v>91</v>
      </c>
      <c r="D5" t="s">
        <v>8</v>
      </c>
      <c r="E5" s="1">
        <v>6771631</v>
      </c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t="s">
        <v>19</v>
      </c>
      <c r="C6" t="s">
        <v>90</v>
      </c>
      <c r="D6" t="s">
        <v>8</v>
      </c>
      <c r="E6" s="13">
        <v>181918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85</v>
      </c>
      <c r="C7" t="s">
        <v>26</v>
      </c>
      <c r="D7" t="s">
        <v>22</v>
      </c>
      <c r="E7" s="1">
        <v>275</v>
      </c>
      <c r="F7" s="3">
        <f>E7/E5</f>
        <v>4.0610600311800804E-5</v>
      </c>
      <c r="G7">
        <f>ROUNDDOWN(F7*E6,0)</f>
        <v>7</v>
      </c>
      <c r="H7" s="4">
        <v>713685</v>
      </c>
      <c r="I7" s="7">
        <f>H7/E7</f>
        <v>2595.2181818181816</v>
      </c>
      <c r="J7" s="7">
        <f>I7*G7</f>
        <v>18166.527272727271</v>
      </c>
      <c r="K7" s="8">
        <v>66</v>
      </c>
      <c r="L7" s="3">
        <f>K7/E5</f>
        <v>9.746544074832194E-6</v>
      </c>
      <c r="M7" s="8">
        <f>ROUNDDOWN(L7*E6,0)</f>
        <v>1</v>
      </c>
      <c r="N7" s="4">
        <v>516623</v>
      </c>
      <c r="O7" s="10">
        <f>N7/K7</f>
        <v>7827.621212121212</v>
      </c>
      <c r="P7" s="7">
        <f>M7*O7</f>
        <v>7827.621212121212</v>
      </c>
    </row>
    <row r="8" spans="2:16" s="2" customFormat="1" x14ac:dyDescent="0.3">
      <c r="B8" s="12" t="s">
        <v>85</v>
      </c>
      <c r="C8" t="s">
        <v>24</v>
      </c>
      <c r="D8" t="s">
        <v>22</v>
      </c>
      <c r="E8" s="1">
        <v>297</v>
      </c>
      <c r="F8" s="3">
        <f>E8/E5</f>
        <v>4.3859448336744867E-5</v>
      </c>
      <c r="G8">
        <f>ROUNDDOWN(F8*E6,0)</f>
        <v>7</v>
      </c>
      <c r="H8" s="4">
        <v>16072195</v>
      </c>
      <c r="I8" s="7">
        <f>H8/E8</f>
        <v>54115.134680134681</v>
      </c>
      <c r="J8" s="7">
        <f t="shared" ref="J8:J38" si="0">I8*G8</f>
        <v>378805.94276094274</v>
      </c>
      <c r="K8" s="8">
        <v>59</v>
      </c>
      <c r="L8" s="3">
        <f>K8/E5</f>
        <v>8.7128197032590818E-6</v>
      </c>
      <c r="M8" s="8">
        <f>ROUNDDOWN(L8*E6,0)</f>
        <v>1</v>
      </c>
      <c r="N8" s="4">
        <v>3628283</v>
      </c>
      <c r="O8" s="10">
        <f t="shared" ref="O8:O36" si="1">N8/K8</f>
        <v>61496.322033898308</v>
      </c>
      <c r="P8" s="7">
        <f t="shared" ref="P8:P36" si="2">M8*O8</f>
        <v>61496.322033898308</v>
      </c>
    </row>
    <row r="9" spans="2:16" s="2" customFormat="1" x14ac:dyDescent="0.3">
      <c r="B9" s="12" t="s">
        <v>85</v>
      </c>
      <c r="C9" t="s">
        <v>27</v>
      </c>
      <c r="D9" t="s">
        <v>22</v>
      </c>
      <c r="E9" s="1"/>
      <c r="F9" s="3">
        <f>E9/E5</f>
        <v>0</v>
      </c>
      <c r="G9">
        <f>ROUNDDOWN(F9*E6,0)</f>
        <v>0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85</v>
      </c>
      <c r="C10" t="s">
        <v>28</v>
      </c>
      <c r="D10" t="s">
        <v>22</v>
      </c>
      <c r="E10" s="1">
        <v>268</v>
      </c>
      <c r="F10" s="3">
        <f>E10/E5</f>
        <v>3.9576875940227695E-5</v>
      </c>
      <c r="G10">
        <f>ROUNDDOWN(F10*E6,0)</f>
        <v>7</v>
      </c>
      <c r="H10" s="4">
        <v>5101478</v>
      </c>
      <c r="I10" s="7">
        <f t="shared" si="3"/>
        <v>19035.36567164179</v>
      </c>
      <c r="J10" s="7">
        <f t="shared" si="0"/>
        <v>133247.55970149254</v>
      </c>
      <c r="K10" s="8">
        <v>112</v>
      </c>
      <c r="L10" s="3">
        <f>K10/E5</f>
        <v>1.6539589945169781E-5</v>
      </c>
      <c r="M10" s="8">
        <f>ROUNDDOWN(L10*E6,0)</f>
        <v>3</v>
      </c>
      <c r="N10" s="4">
        <v>2307165</v>
      </c>
      <c r="O10" s="10">
        <f t="shared" si="1"/>
        <v>20599.6875</v>
      </c>
      <c r="P10" s="7">
        <f t="shared" si="2"/>
        <v>61799.0625</v>
      </c>
    </row>
    <row r="11" spans="2:16" s="2" customFormat="1" x14ac:dyDescent="0.3">
      <c r="B11" s="12" t="s">
        <v>85</v>
      </c>
      <c r="C11" t="s">
        <v>29</v>
      </c>
      <c r="D11" t="s">
        <v>22</v>
      </c>
      <c r="E11" s="1"/>
      <c r="F11" s="3">
        <f>E11/E5</f>
        <v>0</v>
      </c>
      <c r="G11">
        <f>ROUNDDOWN(F11*E6,0)</f>
        <v>0</v>
      </c>
      <c r="H11" s="6"/>
      <c r="I11" s="7" t="e">
        <f t="shared" si="3"/>
        <v>#DIV/0!</v>
      </c>
      <c r="J11" s="7" t="e">
        <f t="shared" si="0"/>
        <v>#DIV/0!</v>
      </c>
      <c r="K11" s="8"/>
      <c r="L11" s="3">
        <f>K11/E5</f>
        <v>0</v>
      </c>
      <c r="M11" s="8">
        <f>ROUNDDOWN(L11*E6,0)</f>
        <v>0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s="12" t="s">
        <v>85</v>
      </c>
      <c r="C12" t="s">
        <v>5</v>
      </c>
      <c r="D12" t="s">
        <v>22</v>
      </c>
      <c r="E12" s="1">
        <v>28</v>
      </c>
      <c r="F12" s="3">
        <f>E12/E5</f>
        <v>4.1348974862924453E-6</v>
      </c>
      <c r="G12">
        <f>ROUNDDOWN(F12*E6,0)</f>
        <v>0</v>
      </c>
      <c r="H12" s="5">
        <v>0</v>
      </c>
      <c r="I12" s="7">
        <f t="shared" si="3"/>
        <v>0</v>
      </c>
      <c r="J12" s="7">
        <f t="shared" si="0"/>
        <v>0</v>
      </c>
      <c r="K12" s="8">
        <v>8</v>
      </c>
      <c r="L12" s="3">
        <f>K12/E5</f>
        <v>1.1813992817978416E-6</v>
      </c>
      <c r="M12" s="8">
        <f>ROUNDDOWN(L12*E6,0)</f>
        <v>0</v>
      </c>
      <c r="N12" s="10">
        <v>0</v>
      </c>
      <c r="O12" s="10">
        <f t="shared" si="1"/>
        <v>0</v>
      </c>
      <c r="P12" s="7">
        <f t="shared" si="2"/>
        <v>0</v>
      </c>
    </row>
    <row r="13" spans="2:16" s="2" customFormat="1" x14ac:dyDescent="0.3">
      <c r="B13" s="12" t="s">
        <v>85</v>
      </c>
      <c r="C13" t="s">
        <v>6</v>
      </c>
      <c r="D13" t="s">
        <v>22</v>
      </c>
      <c r="E13" s="1">
        <v>28</v>
      </c>
      <c r="F13" s="3">
        <f>E13/E5</f>
        <v>4.1348974862924453E-6</v>
      </c>
      <c r="G13">
        <f>ROUNDDOWN(F13*E6,0)</f>
        <v>0</v>
      </c>
      <c r="H13" s="4">
        <v>476146</v>
      </c>
      <c r="I13" s="7">
        <f t="shared" si="3"/>
        <v>17005.214285714286</v>
      </c>
      <c r="J13" s="7">
        <f t="shared" si="0"/>
        <v>0</v>
      </c>
      <c r="K13" s="8">
        <v>5</v>
      </c>
      <c r="L13" s="3">
        <f>K13/E5</f>
        <v>7.3837455112365104E-7</v>
      </c>
      <c r="M13" s="8">
        <f>ROUNDDOWN(L13*E6,0)</f>
        <v>0</v>
      </c>
      <c r="N13" s="4">
        <v>126300</v>
      </c>
      <c r="O13" s="10">
        <f t="shared" si="1"/>
        <v>25260</v>
      </c>
      <c r="P13" s="7">
        <f t="shared" si="2"/>
        <v>0</v>
      </c>
    </row>
    <row r="14" spans="2:16" s="2" customFormat="1" x14ac:dyDescent="0.3">
      <c r="B14" s="12" t="s">
        <v>85</v>
      </c>
      <c r="C14" t="s">
        <v>30</v>
      </c>
      <c r="D14" t="s">
        <v>22</v>
      </c>
      <c r="E14" s="1">
        <v>258</v>
      </c>
      <c r="F14" s="3">
        <f>E14/E5</f>
        <v>3.810012683798039E-5</v>
      </c>
      <c r="G14">
        <f>ROUNDDOWN(F14*E6,0)</f>
        <v>6</v>
      </c>
      <c r="H14" s="4">
        <v>268247</v>
      </c>
      <c r="I14" s="7">
        <f t="shared" si="3"/>
        <v>1039.7170542635658</v>
      </c>
      <c r="J14" s="7">
        <f t="shared" si="0"/>
        <v>6238.3023255813951</v>
      </c>
      <c r="K14" s="8">
        <v>85</v>
      </c>
      <c r="L14" s="3">
        <f>K14/E5</f>
        <v>1.2552367369102067E-5</v>
      </c>
      <c r="M14" s="8">
        <f>ROUNDDOWN(L14*E6,0)</f>
        <v>2</v>
      </c>
      <c r="N14" s="6">
        <v>157215</v>
      </c>
      <c r="O14" s="9"/>
      <c r="P14" s="7">
        <f t="shared" si="2"/>
        <v>0</v>
      </c>
    </row>
    <row r="15" spans="2:16" s="2" customFormat="1" x14ac:dyDescent="0.3">
      <c r="B15" s="12" t="s">
        <v>85</v>
      </c>
      <c r="C15" t="s">
        <v>9</v>
      </c>
      <c r="D15" t="s">
        <v>22</v>
      </c>
      <c r="E15" s="1">
        <v>759</v>
      </c>
      <c r="F15" s="3">
        <f>E15/E5</f>
        <v>1.1208525686057022E-4</v>
      </c>
      <c r="G15">
        <f>ROUNDDOWN(F15*E6,0)</f>
        <v>20</v>
      </c>
      <c r="H15" s="4">
        <v>298202</v>
      </c>
      <c r="I15" s="7">
        <f t="shared" si="3"/>
        <v>392.88801054018444</v>
      </c>
      <c r="J15" s="7">
        <f t="shared" si="0"/>
        <v>7857.760210803689</v>
      </c>
      <c r="K15" s="8">
        <v>105</v>
      </c>
      <c r="L15" s="3">
        <f>K15/E5</f>
        <v>1.5505865573596672E-5</v>
      </c>
      <c r="M15" s="8">
        <f>ROUNDDOWN(L15*E6,0)</f>
        <v>2</v>
      </c>
      <c r="N15" s="6">
        <v>258828</v>
      </c>
      <c r="O15" s="9"/>
      <c r="P15" s="7">
        <f t="shared" si="2"/>
        <v>0</v>
      </c>
    </row>
    <row r="16" spans="2:16" s="2" customFormat="1" x14ac:dyDescent="0.3">
      <c r="B16" s="12" t="s">
        <v>85</v>
      </c>
      <c r="C16" t="s">
        <v>31</v>
      </c>
      <c r="D16" t="s">
        <v>22</v>
      </c>
      <c r="E16" s="1">
        <v>236</v>
      </c>
      <c r="F16" s="3">
        <f>E16/E5</f>
        <v>3.4851278813036327E-5</v>
      </c>
      <c r="G16">
        <f>ROUNDDOWN(F16*E6,0)</f>
        <v>6</v>
      </c>
      <c r="H16" s="6">
        <v>504683</v>
      </c>
      <c r="I16" s="9"/>
      <c r="J16" s="7">
        <f t="shared" si="0"/>
        <v>0</v>
      </c>
      <c r="K16" s="8">
        <v>24</v>
      </c>
      <c r="L16" s="3">
        <f>K16/E5</f>
        <v>3.5441978453935247E-6</v>
      </c>
      <c r="M16" s="8">
        <f>ROUNDDOWN(L16*E6,0)</f>
        <v>0</v>
      </c>
      <c r="N16" s="4">
        <v>109665</v>
      </c>
      <c r="O16" s="10">
        <f t="shared" si="1"/>
        <v>4569.375</v>
      </c>
      <c r="P16" s="7">
        <f t="shared" si="2"/>
        <v>0</v>
      </c>
    </row>
    <row r="17" spans="2:16" s="2" customFormat="1" x14ac:dyDescent="0.3">
      <c r="B17" s="12" t="s">
        <v>85</v>
      </c>
      <c r="C17" t="s">
        <v>32</v>
      </c>
      <c r="D17" t="s">
        <v>22</v>
      </c>
      <c r="E17" s="1"/>
      <c r="F17" s="3">
        <f>E17/E5</f>
        <v>0</v>
      </c>
      <c r="G17">
        <f>ROUNDDOWN(F17*E6,0)</f>
        <v>0</v>
      </c>
      <c r="H17" s="4"/>
      <c r="I17" s="7" t="e">
        <f t="shared" si="3"/>
        <v>#DIV/0!</v>
      </c>
      <c r="J17" s="7" t="e">
        <f t="shared" si="0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85</v>
      </c>
      <c r="C18" t="s">
        <v>33</v>
      </c>
      <c r="D18" t="s">
        <v>22</v>
      </c>
      <c r="E18" s="1">
        <v>25</v>
      </c>
      <c r="F18" s="3">
        <f>E18/E5</f>
        <v>3.691872755618255E-6</v>
      </c>
      <c r="G18">
        <f>ROUNDDOWN(F18*E6,0)</f>
        <v>0</v>
      </c>
      <c r="H18" s="4">
        <v>62769</v>
      </c>
      <c r="I18" s="7">
        <f t="shared" si="3"/>
        <v>2510.7600000000002</v>
      </c>
      <c r="J18" s="7">
        <f t="shared" si="0"/>
        <v>0</v>
      </c>
      <c r="K18" s="8">
        <v>10</v>
      </c>
      <c r="L18" s="3">
        <f>K18/E5</f>
        <v>1.4767491022473021E-6</v>
      </c>
      <c r="M18" s="8">
        <f>ROUNDDOWN(L18*E6,0)</f>
        <v>0</v>
      </c>
      <c r="N18" s="6">
        <v>62431</v>
      </c>
      <c r="O18" s="9"/>
      <c r="P18" s="7">
        <f t="shared" si="2"/>
        <v>0</v>
      </c>
    </row>
    <row r="19" spans="2:16" s="2" customFormat="1" x14ac:dyDescent="0.3">
      <c r="B19" s="12" t="s">
        <v>85</v>
      </c>
      <c r="C19" t="s">
        <v>34</v>
      </c>
      <c r="D19" t="s">
        <v>22</v>
      </c>
      <c r="E19" s="1">
        <v>407</v>
      </c>
      <c r="F19" s="3">
        <f>E19/E5</f>
        <v>6.0103688461465195E-5</v>
      </c>
      <c r="G19">
        <f>ROUNDDOWN(F19*E6,0)</f>
        <v>10</v>
      </c>
      <c r="H19" s="4">
        <v>1271461</v>
      </c>
      <c r="I19" s="7">
        <f t="shared" si="3"/>
        <v>3123.9828009828011</v>
      </c>
      <c r="J19" s="7">
        <f t="shared" si="0"/>
        <v>31239.828009828012</v>
      </c>
      <c r="K19" s="8">
        <v>235</v>
      </c>
      <c r="L19" s="3">
        <f>K19/E5</f>
        <v>3.4703603902811597E-5</v>
      </c>
      <c r="M19" s="8">
        <f>ROUNDDOWN(L19*E6,0)</f>
        <v>6</v>
      </c>
      <c r="N19" s="4">
        <v>235577</v>
      </c>
      <c r="O19" s="10">
        <f t="shared" si="1"/>
        <v>1002.4553191489362</v>
      </c>
      <c r="P19" s="7">
        <f t="shared" si="2"/>
        <v>6014.7319148936167</v>
      </c>
    </row>
    <row r="20" spans="2:16" s="2" customFormat="1" x14ac:dyDescent="0.3">
      <c r="B20" s="12" t="s">
        <v>85</v>
      </c>
      <c r="C20" t="s">
        <v>35</v>
      </c>
      <c r="D20" t="s">
        <v>22</v>
      </c>
      <c r="E20" s="1">
        <v>17</v>
      </c>
      <c r="F20" s="3">
        <f>E20/E5</f>
        <v>2.5104734738204134E-6</v>
      </c>
      <c r="G20">
        <f>ROUNDDOWN(F20*E6,0)</f>
        <v>0</v>
      </c>
      <c r="H20" s="4">
        <v>1124651</v>
      </c>
      <c r="I20" s="7">
        <f t="shared" si="3"/>
        <v>66155.941176470587</v>
      </c>
      <c r="J20" s="7">
        <f t="shared" si="0"/>
        <v>0</v>
      </c>
      <c r="K20" s="8">
        <v>9</v>
      </c>
      <c r="L20" s="3">
        <f>K20/E5</f>
        <v>1.3290741920225718E-6</v>
      </c>
      <c r="M20" s="8">
        <f>ROUNDDOWN(L20*E6,0)</f>
        <v>0</v>
      </c>
      <c r="N20" s="4">
        <v>1959171</v>
      </c>
      <c r="O20" s="10">
        <f t="shared" si="1"/>
        <v>217685.66666666666</v>
      </c>
      <c r="P20" s="7">
        <f t="shared" si="2"/>
        <v>0</v>
      </c>
    </row>
    <row r="21" spans="2:16" s="2" customFormat="1" x14ac:dyDescent="0.3">
      <c r="B21" s="12" t="s">
        <v>85</v>
      </c>
      <c r="C21" t="s">
        <v>36</v>
      </c>
      <c r="D21" t="s">
        <v>22</v>
      </c>
      <c r="E21" s="1">
        <v>117</v>
      </c>
      <c r="F21" s="3">
        <f>E21/E5</f>
        <v>1.7277964496293434E-5</v>
      </c>
      <c r="G21">
        <f>ROUNDDOWN(F21*E6,0)</f>
        <v>3</v>
      </c>
      <c r="H21" s="4">
        <v>35007</v>
      </c>
      <c r="I21" s="7">
        <f t="shared" si="3"/>
        <v>299.20512820512823</v>
      </c>
      <c r="J21" s="7">
        <f t="shared" si="0"/>
        <v>897.61538461538476</v>
      </c>
      <c r="K21" s="8">
        <v>20</v>
      </c>
      <c r="L21" s="3">
        <f>K21/E5</f>
        <v>2.9534982044946042E-6</v>
      </c>
      <c r="M21" s="8">
        <f>ROUNDDOWN(L21*E6,0)</f>
        <v>0</v>
      </c>
      <c r="N21" s="4">
        <v>185881</v>
      </c>
      <c r="O21" s="10">
        <f t="shared" si="1"/>
        <v>9294.0499999999993</v>
      </c>
      <c r="P21" s="7">
        <f t="shared" si="2"/>
        <v>0</v>
      </c>
    </row>
    <row r="22" spans="2:16" s="2" customFormat="1" x14ac:dyDescent="0.3">
      <c r="B22" s="12" t="s">
        <v>85</v>
      </c>
      <c r="C22" t="s">
        <v>10</v>
      </c>
      <c r="D22" t="s">
        <v>22</v>
      </c>
      <c r="E22" s="1">
        <v>23</v>
      </c>
      <c r="F22" s="3">
        <f>E22/E5</f>
        <v>3.3965229351687945E-6</v>
      </c>
      <c r="G22">
        <f>ROUNDDOWN(F22*E6,0)</f>
        <v>0</v>
      </c>
      <c r="H22" s="4">
        <v>150</v>
      </c>
      <c r="I22" s="7">
        <f t="shared" si="3"/>
        <v>6.5217391304347823</v>
      </c>
      <c r="J22" s="7">
        <f t="shared" si="0"/>
        <v>0</v>
      </c>
      <c r="K22" s="8">
        <v>5</v>
      </c>
      <c r="L22" s="3">
        <f>K22/E5</f>
        <v>7.3837455112365104E-7</v>
      </c>
      <c r="M22" s="8">
        <f>ROUNDDOWN(L22*E6,0)</f>
        <v>0</v>
      </c>
      <c r="N22" s="4">
        <v>1758</v>
      </c>
      <c r="O22" s="10">
        <f t="shared" si="1"/>
        <v>351.6</v>
      </c>
      <c r="P22" s="7">
        <f t="shared" si="2"/>
        <v>0</v>
      </c>
    </row>
    <row r="23" spans="2:16" s="2" customFormat="1" x14ac:dyDescent="0.3">
      <c r="B23" s="12" t="s">
        <v>85</v>
      </c>
      <c r="C23" t="s">
        <v>37</v>
      </c>
      <c r="D23" t="s">
        <v>22</v>
      </c>
      <c r="E23" s="1"/>
      <c r="F23" s="3">
        <f>E23/E5</f>
        <v>0</v>
      </c>
      <c r="G23">
        <f>ROUNDDOWN(F23*E6,0)</f>
        <v>0</v>
      </c>
      <c r="H23" s="4"/>
      <c r="I23" s="7" t="e">
        <f t="shared" si="3"/>
        <v>#DIV/0!</v>
      </c>
      <c r="J23" s="7" t="e">
        <f t="shared" si="0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85</v>
      </c>
      <c r="C24" t="s">
        <v>38</v>
      </c>
      <c r="D24" t="s">
        <v>22</v>
      </c>
      <c r="E24" s="1"/>
      <c r="F24" s="3">
        <f>E24/E5</f>
        <v>0</v>
      </c>
      <c r="G24">
        <f>ROUNDDOWN(F24*E6,0)</f>
        <v>0</v>
      </c>
      <c r="H24" s="4"/>
      <c r="I24" s="7" t="e">
        <f t="shared" si="3"/>
        <v>#DIV/0!</v>
      </c>
      <c r="J24" s="7" t="e">
        <f t="shared" si="0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85</v>
      </c>
      <c r="C25" t="s">
        <v>39</v>
      </c>
      <c r="D25" t="s">
        <v>22</v>
      </c>
      <c r="E25" s="1">
        <v>691</v>
      </c>
      <c r="F25" s="3">
        <f>E25/E5</f>
        <v>1.0204336296528857E-4</v>
      </c>
      <c r="G25">
        <f>ROUNDDOWN(F25*E6,0)</f>
        <v>18</v>
      </c>
      <c r="H25" s="4">
        <v>2000</v>
      </c>
      <c r="I25" s="7">
        <f t="shared" si="3"/>
        <v>2.8943560057887119</v>
      </c>
      <c r="J25" s="7">
        <f t="shared" si="0"/>
        <v>52.098408104196814</v>
      </c>
      <c r="K25" s="8">
        <v>501</v>
      </c>
      <c r="L25" s="3">
        <f>K25/E5</f>
        <v>7.3985130022589826E-5</v>
      </c>
      <c r="M25" s="8">
        <f>ROUNDDOWN(L25*E6,0)</f>
        <v>13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85</v>
      </c>
      <c r="C26" t="s">
        <v>40</v>
      </c>
      <c r="D26" t="s">
        <v>22</v>
      </c>
      <c r="E26" s="1">
        <v>1020</v>
      </c>
      <c r="F26" s="3">
        <f>E26/E5</f>
        <v>1.506284084292248E-4</v>
      </c>
      <c r="G26">
        <f>ROUNDDOWN(F26*E6,0)</f>
        <v>27</v>
      </c>
      <c r="H26" s="4">
        <v>2450142</v>
      </c>
      <c r="I26" s="7">
        <f t="shared" si="3"/>
        <v>2402.1</v>
      </c>
      <c r="J26" s="7">
        <f t="shared" si="0"/>
        <v>64856.7</v>
      </c>
      <c r="K26" s="8">
        <v>350</v>
      </c>
      <c r="L26" s="3">
        <f>K26/E5</f>
        <v>5.1686218578655568E-5</v>
      </c>
      <c r="M26" s="8">
        <f>ROUNDDOWN(L26*E6,0)</f>
        <v>9</v>
      </c>
      <c r="N26" s="4">
        <v>1352168</v>
      </c>
      <c r="O26" s="10">
        <f t="shared" si="1"/>
        <v>3863.3371428571427</v>
      </c>
      <c r="P26" s="7">
        <f t="shared" si="2"/>
        <v>34770.034285714282</v>
      </c>
    </row>
    <row r="27" spans="2:16" s="2" customFormat="1" x14ac:dyDescent="0.3">
      <c r="B27" s="12" t="s">
        <v>85</v>
      </c>
      <c r="C27" t="s">
        <v>41</v>
      </c>
      <c r="D27" t="s">
        <v>22</v>
      </c>
      <c r="E27" s="1">
        <v>146</v>
      </c>
      <c r="F27" s="3">
        <f>E27/E5</f>
        <v>2.1560536892810609E-5</v>
      </c>
      <c r="G27">
        <f>ROUNDDOWN(F27*E6,0)</f>
        <v>3</v>
      </c>
      <c r="H27" s="4">
        <v>98342</v>
      </c>
      <c r="I27" s="7">
        <f t="shared" si="3"/>
        <v>673.57534246575347</v>
      </c>
      <c r="J27" s="7">
        <f t="shared" si="0"/>
        <v>2020.7260273972604</v>
      </c>
      <c r="K27" s="8">
        <v>64</v>
      </c>
      <c r="L27" s="3">
        <f>K27/E5</f>
        <v>9.4511942543827326E-6</v>
      </c>
      <c r="M27" s="8">
        <f>ROUNDDOWN(L27*E6,0)</f>
        <v>1</v>
      </c>
      <c r="N27" s="4">
        <v>212276</v>
      </c>
      <c r="O27" s="10">
        <f>N27/K27</f>
        <v>3316.8125</v>
      </c>
      <c r="P27" s="7">
        <f t="shared" si="2"/>
        <v>3316.8125</v>
      </c>
    </row>
    <row r="28" spans="2:16" s="2" customFormat="1" x14ac:dyDescent="0.3">
      <c r="B28" s="12" t="s">
        <v>85</v>
      </c>
      <c r="C28" t="s">
        <v>42</v>
      </c>
      <c r="D28" t="s">
        <v>22</v>
      </c>
      <c r="E28" s="1">
        <v>228</v>
      </c>
      <c r="F28" s="3">
        <f>E28/E5</f>
        <v>3.3669879531238489E-5</v>
      </c>
      <c r="G28">
        <f>ROUNDDOWN(F28*E6,0)</f>
        <v>6</v>
      </c>
      <c r="H28" s="4">
        <v>205197</v>
      </c>
      <c r="I28" s="7">
        <f t="shared" si="3"/>
        <v>899.98684210526312</v>
      </c>
      <c r="J28" s="7">
        <f>I28*G28</f>
        <v>5399.9210526315783</v>
      </c>
      <c r="K28" s="8">
        <v>91</v>
      </c>
      <c r="L28" s="3">
        <f>K28/E5</f>
        <v>1.3438416830450448E-5</v>
      </c>
      <c r="M28" s="8">
        <f>ROUNDDOWN(L28*E6,0)</f>
        <v>2</v>
      </c>
      <c r="N28" s="4">
        <v>164202</v>
      </c>
      <c r="O28" s="10">
        <f t="shared" si="1"/>
        <v>1804.4175824175825</v>
      </c>
      <c r="P28" s="7">
        <f>M28*O28</f>
        <v>3608.835164835165</v>
      </c>
    </row>
    <row r="29" spans="2:16" s="2" customFormat="1" x14ac:dyDescent="0.3">
      <c r="B29" s="12" t="s">
        <v>85</v>
      </c>
      <c r="C29" t="s">
        <v>11</v>
      </c>
      <c r="D29" t="s">
        <v>22</v>
      </c>
      <c r="E29" s="1">
        <v>697</v>
      </c>
      <c r="F29" s="3">
        <f>E29/E5</f>
        <v>1.0292941242663695E-4</v>
      </c>
      <c r="G29">
        <f>ROUNDDOWN(F29*E6,0)</f>
        <v>18</v>
      </c>
      <c r="H29" s="4">
        <v>1078377</v>
      </c>
      <c r="I29" s="7">
        <f t="shared" si="3"/>
        <v>1547.1692969870876</v>
      </c>
      <c r="J29" s="7">
        <f t="shared" si="0"/>
        <v>27849.047345767576</v>
      </c>
      <c r="K29" s="8">
        <v>187</v>
      </c>
      <c r="L29" s="3">
        <f>K29/E5</f>
        <v>2.7615208212024549E-5</v>
      </c>
      <c r="M29" s="8">
        <f>ROUNDDOWN(L29*E6,0)</f>
        <v>5</v>
      </c>
      <c r="N29" s="4">
        <v>534473</v>
      </c>
      <c r="O29" s="10">
        <f t="shared" si="1"/>
        <v>2858.1443850267378</v>
      </c>
      <c r="P29" s="7">
        <f t="shared" si="2"/>
        <v>14290.72192513369</v>
      </c>
    </row>
    <row r="30" spans="2:16" s="2" customFormat="1" x14ac:dyDescent="0.3">
      <c r="B30" s="12" t="s">
        <v>85</v>
      </c>
      <c r="C30" t="s">
        <v>12</v>
      </c>
      <c r="D30" t="s">
        <v>22</v>
      </c>
      <c r="E30" s="1">
        <v>311</v>
      </c>
      <c r="F30" s="3">
        <f>E30/E5</f>
        <v>4.5926897079891091E-5</v>
      </c>
      <c r="G30">
        <f>ROUNDDOWN(F30*E6,0)</f>
        <v>8</v>
      </c>
      <c r="H30" s="4">
        <v>236437</v>
      </c>
      <c r="I30" s="7">
        <f t="shared" si="3"/>
        <v>760.24758842443725</v>
      </c>
      <c r="J30" s="7">
        <f t="shared" si="0"/>
        <v>6081.980707395498</v>
      </c>
      <c r="K30" s="8">
        <v>52</v>
      </c>
      <c r="L30" s="3">
        <f>K30/E5</f>
        <v>7.6790953316859713E-6</v>
      </c>
      <c r="M30" s="8">
        <f>ROUNDDOWN(L30*E6,0)</f>
        <v>1</v>
      </c>
      <c r="N30" s="4">
        <v>256030</v>
      </c>
      <c r="O30" s="10">
        <f t="shared" si="1"/>
        <v>4923.6538461538457</v>
      </c>
      <c r="P30" s="7">
        <f t="shared" si="2"/>
        <v>4923.6538461538457</v>
      </c>
    </row>
    <row r="31" spans="2:16" s="2" customFormat="1" x14ac:dyDescent="0.3">
      <c r="B31" s="12" t="s">
        <v>85</v>
      </c>
      <c r="C31" t="s">
        <v>13</v>
      </c>
      <c r="D31" t="s">
        <v>22</v>
      </c>
      <c r="E31" s="1">
        <v>20</v>
      </c>
      <c r="F31" s="3">
        <f>E31/E5</f>
        <v>2.9534982044946042E-6</v>
      </c>
      <c r="G31">
        <f>ROUNDDOWN(F31*E6,0)</f>
        <v>0</v>
      </c>
      <c r="H31" s="4">
        <v>36722</v>
      </c>
      <c r="I31" s="7">
        <f>H31/E31</f>
        <v>1836.1</v>
      </c>
      <c r="J31" s="7">
        <f t="shared" si="0"/>
        <v>0</v>
      </c>
      <c r="K31" s="8">
        <v>1</v>
      </c>
      <c r="L31" s="3">
        <f>K31/E5</f>
        <v>1.476749102247302E-7</v>
      </c>
      <c r="M31" s="8">
        <f>ROUNDDOWN(L31*E6,0)</f>
        <v>0</v>
      </c>
      <c r="N31" s="10">
        <v>0</v>
      </c>
      <c r="O31" s="10">
        <f t="shared" si="1"/>
        <v>0</v>
      </c>
      <c r="P31" s="7">
        <f t="shared" si="2"/>
        <v>0</v>
      </c>
    </row>
    <row r="32" spans="2:16" s="2" customFormat="1" x14ac:dyDescent="0.3">
      <c r="B32" s="12" t="s">
        <v>85</v>
      </c>
      <c r="C32" t="s">
        <v>43</v>
      </c>
      <c r="D32" t="s">
        <v>22</v>
      </c>
      <c r="E32" s="1">
        <v>154</v>
      </c>
      <c r="F32" s="3">
        <f>E32/E5</f>
        <v>2.2741936174608451E-5</v>
      </c>
      <c r="G32">
        <f>ROUNDDOWN(F32*E6,0)</f>
        <v>4</v>
      </c>
      <c r="H32" s="4">
        <v>1252773</v>
      </c>
      <c r="I32" s="7">
        <f t="shared" si="3"/>
        <v>8134.8896103896104</v>
      </c>
      <c r="J32" s="7">
        <f t="shared" si="0"/>
        <v>32539.558441558442</v>
      </c>
      <c r="K32" s="8">
        <v>94</v>
      </c>
      <c r="L32" s="3">
        <f>K32/E5</f>
        <v>1.3881441561124639E-5</v>
      </c>
      <c r="M32" s="8">
        <f>ROUNDDOWN(L32*E6,0)</f>
        <v>2</v>
      </c>
      <c r="N32" s="4">
        <v>730382</v>
      </c>
      <c r="O32" s="10">
        <f t="shared" si="1"/>
        <v>7770.0212765957449</v>
      </c>
      <c r="P32" s="7">
        <f t="shared" si="2"/>
        <v>15540.04255319149</v>
      </c>
    </row>
    <row r="33" spans="2:16" s="2" customFormat="1" x14ac:dyDescent="0.3">
      <c r="B33" s="12" t="s">
        <v>85</v>
      </c>
      <c r="C33" t="s">
        <v>44</v>
      </c>
      <c r="D33" t="s">
        <v>22</v>
      </c>
      <c r="E33" s="1"/>
      <c r="F33" s="3">
        <f>E33/E5</f>
        <v>0</v>
      </c>
      <c r="G33">
        <f>ROUNDDOWN(F33*E6,0)</f>
        <v>0</v>
      </c>
      <c r="H33" s="4"/>
      <c r="I33" s="7" t="e">
        <f t="shared" si="3"/>
        <v>#DIV/0!</v>
      </c>
      <c r="J33" s="7" t="e">
        <f t="shared" si="0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85</v>
      </c>
      <c r="C34" t="s">
        <v>14</v>
      </c>
      <c r="D34" t="s">
        <v>22</v>
      </c>
      <c r="E34" s="1">
        <v>193</v>
      </c>
      <c r="F34" s="3">
        <f>E34/E5</f>
        <v>2.8501257673372928E-5</v>
      </c>
      <c r="G34">
        <f>ROUNDDOWN(F34*E6,0)</f>
        <v>5</v>
      </c>
      <c r="H34" s="4">
        <v>297281</v>
      </c>
      <c r="I34" s="7">
        <f t="shared" si="3"/>
        <v>1540.3160621761658</v>
      </c>
      <c r="J34" s="7">
        <f t="shared" si="0"/>
        <v>7701.5803108808286</v>
      </c>
      <c r="K34" s="8">
        <v>40</v>
      </c>
      <c r="L34" s="3">
        <f>K34/E5</f>
        <v>5.9069964089892083E-6</v>
      </c>
      <c r="M34" s="8">
        <f>ROUNDDOWN(L34*E6,0)</f>
        <v>1</v>
      </c>
      <c r="N34" s="4">
        <v>429686</v>
      </c>
      <c r="O34" s="10">
        <f t="shared" si="1"/>
        <v>10742.15</v>
      </c>
      <c r="P34" s="7">
        <f t="shared" si="2"/>
        <v>10742.15</v>
      </c>
    </row>
    <row r="35" spans="2:16" s="2" customFormat="1" x14ac:dyDescent="0.3">
      <c r="B35" s="12" t="s">
        <v>85</v>
      </c>
      <c r="C35" t="s">
        <v>45</v>
      </c>
      <c r="D35" t="s">
        <v>22</v>
      </c>
      <c r="E35" s="1">
        <v>245</v>
      </c>
      <c r="F35" s="3">
        <f>E35/E5</f>
        <v>3.6180353005058902E-5</v>
      </c>
      <c r="G35">
        <f>ROUNDDOWN(F35*E6,0)</f>
        <v>6</v>
      </c>
      <c r="H35" s="4">
        <v>405006</v>
      </c>
      <c r="I35" s="7">
        <f t="shared" si="3"/>
        <v>1653.0857142857142</v>
      </c>
      <c r="J35" s="7">
        <f t="shared" si="0"/>
        <v>9918.5142857142855</v>
      </c>
      <c r="K35" s="8">
        <v>28</v>
      </c>
      <c r="L35" s="3">
        <f>K35/E5</f>
        <v>4.1348974862924453E-6</v>
      </c>
      <c r="M35" s="8">
        <f>ROUNDDOWN(L35*E6,0)</f>
        <v>0</v>
      </c>
      <c r="N35" s="4">
        <v>214280</v>
      </c>
      <c r="O35" s="10">
        <f t="shared" si="1"/>
        <v>7652.8571428571431</v>
      </c>
      <c r="P35" s="7">
        <f t="shared" si="2"/>
        <v>0</v>
      </c>
    </row>
    <row r="36" spans="2:16" s="2" customFormat="1" x14ac:dyDescent="0.3">
      <c r="B36" s="12" t="s">
        <v>85</v>
      </c>
      <c r="C36" t="s">
        <v>15</v>
      </c>
      <c r="D36" t="s">
        <v>22</v>
      </c>
      <c r="E36" s="1">
        <v>262</v>
      </c>
      <c r="F36" s="3">
        <f>E36/E5</f>
        <v>3.8690826478879309E-5</v>
      </c>
      <c r="G36">
        <f>ROUNDDOWN(F36*E6,0)</f>
        <v>7</v>
      </c>
      <c r="H36" s="4">
        <v>110608</v>
      </c>
      <c r="I36" s="7">
        <f t="shared" si="3"/>
        <v>422.16793893129773</v>
      </c>
      <c r="J36" s="7">
        <f t="shared" si="0"/>
        <v>2955.1755725190842</v>
      </c>
      <c r="K36" s="8">
        <v>125</v>
      </c>
      <c r="L36" s="3">
        <f>K36/E5</f>
        <v>1.8459363778091276E-5</v>
      </c>
      <c r="M36" s="8">
        <f>ROUNDDOWN(L36*E6,0)</f>
        <v>3</v>
      </c>
      <c r="N36" s="4">
        <v>91667</v>
      </c>
      <c r="O36" s="10">
        <f t="shared" si="1"/>
        <v>733.33600000000001</v>
      </c>
      <c r="P36" s="7">
        <f t="shared" si="2"/>
        <v>2200.0079999999998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6705</v>
      </c>
      <c r="G38">
        <f>SUM(G8:G36)</f>
        <v>161</v>
      </c>
      <c r="I38" s="7">
        <f t="shared" si="3"/>
        <v>0</v>
      </c>
      <c r="J38" s="7">
        <f t="shared" si="0"/>
        <v>0</v>
      </c>
      <c r="L38" s="3"/>
      <c r="M38" s="3"/>
      <c r="N38" s="10"/>
      <c r="O38" s="10"/>
    </row>
    <row r="39" spans="2:16" x14ac:dyDescent="0.3">
      <c r="C39" t="s">
        <v>86</v>
      </c>
    </row>
  </sheetData>
  <phoneticPr fontId="1" type="noConversion"/>
  <hyperlinks>
    <hyperlink ref="B7" r:id="rId1" location="?s=47" xr:uid="{BA7E7297-EC49-4A57-9B83-8774941AF0A9}"/>
    <hyperlink ref="B8:B36" r:id="rId2" location="?s=47" display="https://www.ic3.gov/Media/PDF/AnnualReport/2018State/StateReport.aspx#?s=47" xr:uid="{3D178310-36AD-4C23-9591-3293B49141D6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276E-0535-45F1-93C4-5039B478062D}">
  <dimension ref="B4:P41"/>
  <sheetViews>
    <sheetView topLeftCell="A7" workbookViewId="0">
      <selection activeCell="F29" sqref="F29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s="12" t="s">
        <v>81</v>
      </c>
      <c r="C5" t="s">
        <v>79</v>
      </c>
      <c r="D5" t="s">
        <v>8</v>
      </c>
      <c r="E5" s="15">
        <v>6829174</v>
      </c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s="12" t="s">
        <v>82</v>
      </c>
      <c r="C6" t="s">
        <v>78</v>
      </c>
      <c r="D6" t="s">
        <v>8</v>
      </c>
      <c r="E6" s="13">
        <v>182799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80</v>
      </c>
      <c r="C7" t="s">
        <v>26</v>
      </c>
      <c r="D7" t="s">
        <v>22</v>
      </c>
      <c r="E7" s="1">
        <v>213</v>
      </c>
      <c r="F7" s="3">
        <f>E7/E5</f>
        <v>3.1189716355155102E-5</v>
      </c>
      <c r="G7">
        <f>ROUNDDOWN(F7*E6,0)</f>
        <v>5</v>
      </c>
      <c r="H7" s="4">
        <v>1071731</v>
      </c>
      <c r="I7" s="7">
        <f>H7/E7</f>
        <v>5031.6009389671362</v>
      </c>
      <c r="J7" s="7">
        <f>I7*G7</f>
        <v>25158.004694835683</v>
      </c>
      <c r="K7" s="8">
        <v>50</v>
      </c>
      <c r="L7" s="3">
        <f>K7/E5</f>
        <v>7.3215296608345313E-6</v>
      </c>
      <c r="M7" s="8">
        <f>ROUNDDOWN(L7*E6,0)</f>
        <v>1</v>
      </c>
      <c r="N7" s="4">
        <v>607608</v>
      </c>
      <c r="O7" s="10">
        <f>N7/K7</f>
        <v>12152.16</v>
      </c>
      <c r="P7" s="7">
        <f>M7*O7</f>
        <v>12152.16</v>
      </c>
    </row>
    <row r="8" spans="2:16" s="2" customFormat="1" x14ac:dyDescent="0.3">
      <c r="B8" s="12" t="s">
        <v>80</v>
      </c>
      <c r="C8" t="s">
        <v>24</v>
      </c>
      <c r="D8" t="s">
        <v>22</v>
      </c>
      <c r="E8" s="1">
        <v>331</v>
      </c>
      <c r="F8" s="3">
        <f>E8/E5</f>
        <v>4.8468526354724601E-5</v>
      </c>
      <c r="G8">
        <f>ROUNDDOWN(F8*E6,0)</f>
        <v>8</v>
      </c>
      <c r="H8" s="4">
        <v>12938403</v>
      </c>
      <c r="I8" s="7">
        <f>H8/E8</f>
        <v>39088.830815709967</v>
      </c>
      <c r="J8" s="7">
        <f t="shared" ref="J8:J38" si="0">I8*G8</f>
        <v>312710.64652567974</v>
      </c>
      <c r="K8" s="8">
        <v>60</v>
      </c>
      <c r="L8" s="3">
        <f>K8/E5</f>
        <v>8.7858355930014379E-6</v>
      </c>
      <c r="M8" s="8">
        <f>ROUNDDOWN(L8*E6,0)</f>
        <v>1</v>
      </c>
      <c r="N8" s="4">
        <v>7348472</v>
      </c>
      <c r="O8" s="10">
        <f t="shared" ref="O8:O36" si="1">N8/K8</f>
        <v>122474.53333333334</v>
      </c>
      <c r="P8" s="7">
        <f t="shared" ref="P8:P36" si="2">M8*O8</f>
        <v>122474.53333333334</v>
      </c>
    </row>
    <row r="9" spans="2:16" s="2" customFormat="1" x14ac:dyDescent="0.3">
      <c r="B9" s="12" t="s">
        <v>80</v>
      </c>
      <c r="C9" t="s">
        <v>27</v>
      </c>
      <c r="D9" t="s">
        <v>22</v>
      </c>
      <c r="E9" s="1"/>
      <c r="F9" s="3">
        <f>E9/E5</f>
        <v>0</v>
      </c>
      <c r="G9">
        <f>ROUNDDOWN(F9*E6,0)</f>
        <v>0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80</v>
      </c>
      <c r="C10" t="s">
        <v>28</v>
      </c>
      <c r="D10" t="s">
        <v>22</v>
      </c>
      <c r="E10" s="1">
        <v>293</v>
      </c>
      <c r="F10" s="3">
        <f>E10/E5</f>
        <v>4.2904163812490355E-5</v>
      </c>
      <c r="G10">
        <f>ROUNDDOWN(F10*E6,0)</f>
        <v>7</v>
      </c>
      <c r="H10" s="4">
        <v>4948521</v>
      </c>
      <c r="I10" s="7">
        <f t="shared" si="3"/>
        <v>16889.150170648463</v>
      </c>
      <c r="J10" s="7">
        <f t="shared" si="0"/>
        <v>118224.05119453924</v>
      </c>
      <c r="K10" s="8">
        <v>131</v>
      </c>
      <c r="L10" s="3">
        <f>K10/E5</f>
        <v>1.9182407711386472E-5</v>
      </c>
      <c r="M10" s="8">
        <f>ROUNDDOWN(L10*E6,0)</f>
        <v>3</v>
      </c>
      <c r="N10" s="4">
        <v>2571226</v>
      </c>
      <c r="O10" s="10">
        <f t="shared" si="1"/>
        <v>19627.679389312976</v>
      </c>
      <c r="P10" s="7">
        <f t="shared" si="2"/>
        <v>58883.038167938925</v>
      </c>
    </row>
    <row r="11" spans="2:16" s="2" customFormat="1" x14ac:dyDescent="0.3">
      <c r="B11" s="12" t="s">
        <v>80</v>
      </c>
      <c r="C11" t="s">
        <v>29</v>
      </c>
      <c r="D11" t="s">
        <v>22</v>
      </c>
      <c r="E11" s="1"/>
      <c r="F11" s="3">
        <f>E11/E5</f>
        <v>0</v>
      </c>
      <c r="G11">
        <f>ROUNDDOWN(F11*E6,0)</f>
        <v>0</v>
      </c>
      <c r="H11" s="6"/>
      <c r="I11" s="7" t="e">
        <f t="shared" si="3"/>
        <v>#DIV/0!</v>
      </c>
      <c r="J11" s="7" t="e">
        <f t="shared" si="0"/>
        <v>#DIV/0!</v>
      </c>
      <c r="K11" s="8"/>
      <c r="L11" s="3">
        <f>K11/E5</f>
        <v>0</v>
      </c>
      <c r="M11" s="8">
        <f>ROUNDDOWN(L11*E6,0)</f>
        <v>0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s="12" t="s">
        <v>80</v>
      </c>
      <c r="C12" t="s">
        <v>5</v>
      </c>
      <c r="D12" t="s">
        <v>22</v>
      </c>
      <c r="E12" s="1">
        <v>23</v>
      </c>
      <c r="F12" s="3">
        <f>E12/E5</f>
        <v>3.3679036439838844E-6</v>
      </c>
      <c r="G12">
        <f>ROUNDDOWN(F12*E6,0)</f>
        <v>0</v>
      </c>
      <c r="H12" s="5">
        <v>0</v>
      </c>
      <c r="I12" s="7">
        <f t="shared" si="3"/>
        <v>0</v>
      </c>
      <c r="J12" s="7">
        <f t="shared" si="0"/>
        <v>0</v>
      </c>
      <c r="K12" s="8">
        <v>5</v>
      </c>
      <c r="L12" s="3">
        <f>K12/E5</f>
        <v>7.3215296608345309E-7</v>
      </c>
      <c r="M12" s="8">
        <f>ROUNDDOWN(L12*E6,0)</f>
        <v>0</v>
      </c>
      <c r="N12" s="10">
        <v>0</v>
      </c>
      <c r="O12" s="10">
        <f t="shared" si="1"/>
        <v>0</v>
      </c>
      <c r="P12" s="7">
        <f t="shared" si="2"/>
        <v>0</v>
      </c>
    </row>
    <row r="13" spans="2:16" s="2" customFormat="1" x14ac:dyDescent="0.3">
      <c r="B13" s="12" t="s">
        <v>80</v>
      </c>
      <c r="C13" t="s">
        <v>6</v>
      </c>
      <c r="D13" t="s">
        <v>22</v>
      </c>
      <c r="E13" s="1">
        <v>21</v>
      </c>
      <c r="F13" s="3">
        <f>E13/E5</f>
        <v>3.0750424575505032E-6</v>
      </c>
      <c r="G13">
        <f>ROUNDDOWN(F13*E6,0)</f>
        <v>0</v>
      </c>
      <c r="H13" s="4">
        <v>2572</v>
      </c>
      <c r="I13" s="7">
        <f t="shared" si="3"/>
        <v>122.47619047619048</v>
      </c>
      <c r="J13" s="7">
        <f t="shared" si="0"/>
        <v>0</v>
      </c>
      <c r="K13" s="8">
        <v>1</v>
      </c>
      <c r="L13" s="3">
        <f>K13/E5</f>
        <v>1.4643059321669062E-7</v>
      </c>
      <c r="M13" s="8">
        <f>ROUNDDOWN(L13*E6,0)</f>
        <v>0</v>
      </c>
      <c r="N13" s="10">
        <v>0</v>
      </c>
      <c r="O13" s="10">
        <f t="shared" si="1"/>
        <v>0</v>
      </c>
      <c r="P13" s="7">
        <f t="shared" si="2"/>
        <v>0</v>
      </c>
    </row>
    <row r="14" spans="2:16" s="2" customFormat="1" x14ac:dyDescent="0.3">
      <c r="B14" s="12" t="s">
        <v>80</v>
      </c>
      <c r="C14" t="s">
        <v>30</v>
      </c>
      <c r="D14" t="s">
        <v>22</v>
      </c>
      <c r="E14" s="1">
        <v>208</v>
      </c>
      <c r="F14" s="3">
        <f>E14/E5</f>
        <v>3.0457563389071652E-5</v>
      </c>
      <c r="G14">
        <f>ROUNDDOWN(F14*E6,0)</f>
        <v>5</v>
      </c>
      <c r="H14" s="4">
        <v>394010</v>
      </c>
      <c r="I14" s="7">
        <f t="shared" si="3"/>
        <v>1894.2788461538462</v>
      </c>
      <c r="J14" s="7">
        <f t="shared" si="0"/>
        <v>9471.3942307692305</v>
      </c>
      <c r="K14" s="8">
        <v>64</v>
      </c>
      <c r="L14" s="3">
        <f>K14/E5</f>
        <v>9.3715579658681995E-6</v>
      </c>
      <c r="M14" s="8">
        <f>ROUNDDOWN(L14*E6,0)</f>
        <v>1</v>
      </c>
      <c r="N14" s="4">
        <v>208089</v>
      </c>
      <c r="O14" s="10">
        <f t="shared" si="1"/>
        <v>3251.390625</v>
      </c>
      <c r="P14" s="7">
        <f t="shared" si="2"/>
        <v>3251.390625</v>
      </c>
    </row>
    <row r="15" spans="2:16" s="2" customFormat="1" x14ac:dyDescent="0.3">
      <c r="B15" s="12" t="s">
        <v>80</v>
      </c>
      <c r="C15" t="s">
        <v>9</v>
      </c>
      <c r="D15" t="s">
        <v>22</v>
      </c>
      <c r="E15" s="1">
        <v>725</v>
      </c>
      <c r="F15" s="3">
        <f>E15/E5</f>
        <v>1.0616218008210071E-4</v>
      </c>
      <c r="G15">
        <f>ROUNDDOWN(F15*E6,0)</f>
        <v>19</v>
      </c>
      <c r="H15" s="6">
        <v>629565</v>
      </c>
      <c r="I15" s="9"/>
      <c r="J15" s="7">
        <f t="shared" si="0"/>
        <v>0</v>
      </c>
      <c r="K15" s="8">
        <v>93</v>
      </c>
      <c r="L15" s="3">
        <f>K15/E5</f>
        <v>1.3618045169152228E-5</v>
      </c>
      <c r="M15" s="8">
        <f>ROUNDDOWN(L15*E6,0)</f>
        <v>2</v>
      </c>
      <c r="N15" s="4">
        <v>87152</v>
      </c>
      <c r="O15" s="10">
        <f t="shared" si="1"/>
        <v>937.11827956989248</v>
      </c>
      <c r="P15" s="7">
        <f t="shared" si="2"/>
        <v>1874.236559139785</v>
      </c>
    </row>
    <row r="16" spans="2:16" s="2" customFormat="1" x14ac:dyDescent="0.3">
      <c r="B16" s="12" t="s">
        <v>80</v>
      </c>
      <c r="C16" t="s">
        <v>31</v>
      </c>
      <c r="D16" t="s">
        <v>22</v>
      </c>
      <c r="E16" s="1">
        <v>227</v>
      </c>
      <c r="F16" s="3">
        <f>E16/E5</f>
        <v>3.3239744660188775E-5</v>
      </c>
      <c r="G16">
        <f>ROUNDDOWN(F16*E6,0)</f>
        <v>6</v>
      </c>
      <c r="H16" s="4">
        <v>555364</v>
      </c>
      <c r="I16" s="7">
        <f t="shared" si="3"/>
        <v>2446.5374449339206</v>
      </c>
      <c r="J16" s="7">
        <f t="shared" si="0"/>
        <v>14679.224669603524</v>
      </c>
      <c r="K16" s="8">
        <v>29</v>
      </c>
      <c r="L16" s="3">
        <f>K16/E5</f>
        <v>4.2464872032840281E-6</v>
      </c>
      <c r="M16" s="8">
        <f>ROUNDDOWN(L16*E6,0)</f>
        <v>0</v>
      </c>
      <c r="N16" s="4">
        <v>83100</v>
      </c>
      <c r="O16" s="10">
        <f t="shared" si="1"/>
        <v>2865.5172413793102</v>
      </c>
      <c r="P16" s="7">
        <f t="shared" si="2"/>
        <v>0</v>
      </c>
    </row>
    <row r="17" spans="2:16" s="2" customFormat="1" x14ac:dyDescent="0.3">
      <c r="B17" s="12" t="s">
        <v>80</v>
      </c>
      <c r="C17" t="s">
        <v>32</v>
      </c>
      <c r="D17" t="s">
        <v>22</v>
      </c>
      <c r="E17" s="1"/>
      <c r="F17" s="3">
        <f>E17/E5</f>
        <v>0</v>
      </c>
      <c r="G17">
        <f>ROUNDDOWN(F17*E6,0)</f>
        <v>0</v>
      </c>
      <c r="H17" s="4"/>
      <c r="I17" s="7" t="e">
        <f t="shared" si="3"/>
        <v>#DIV/0!</v>
      </c>
      <c r="J17" s="7" t="e">
        <f t="shared" si="0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80</v>
      </c>
      <c r="C18" t="s">
        <v>33</v>
      </c>
      <c r="D18" t="s">
        <v>22</v>
      </c>
      <c r="E18" s="1">
        <v>58</v>
      </c>
      <c r="F18" s="3">
        <f>E18/E5</f>
        <v>8.4929744065680562E-6</v>
      </c>
      <c r="G18">
        <f>ROUNDDOWN(F18*E6,0)</f>
        <v>1</v>
      </c>
      <c r="H18" s="4">
        <v>195407</v>
      </c>
      <c r="I18" s="7">
        <f t="shared" si="3"/>
        <v>3369.0862068965516</v>
      </c>
      <c r="J18" s="7">
        <f t="shared" si="0"/>
        <v>3369.0862068965516</v>
      </c>
      <c r="K18" s="8">
        <v>8</v>
      </c>
      <c r="L18" s="3">
        <f>K18/E5</f>
        <v>1.1714447457335249E-6</v>
      </c>
      <c r="M18" s="8">
        <f>ROUNDDOWN(L18*E6,0)</f>
        <v>0</v>
      </c>
      <c r="N18" s="4">
        <v>2925</v>
      </c>
      <c r="O18" s="10">
        <f t="shared" si="1"/>
        <v>365.625</v>
      </c>
      <c r="P18" s="7">
        <f t="shared" si="2"/>
        <v>0</v>
      </c>
    </row>
    <row r="19" spans="2:16" s="2" customFormat="1" x14ac:dyDescent="0.3">
      <c r="B19" s="12" t="s">
        <v>80</v>
      </c>
      <c r="C19" t="s">
        <v>34</v>
      </c>
      <c r="D19" t="s">
        <v>22</v>
      </c>
      <c r="E19" s="1">
        <v>289</v>
      </c>
      <c r="F19" s="3">
        <f>E19/E5</f>
        <v>4.2318441439623595E-5</v>
      </c>
      <c r="G19">
        <f>ROUNDDOWN(F19*E6,0)</f>
        <v>7</v>
      </c>
      <c r="H19" s="4">
        <v>896835</v>
      </c>
      <c r="I19" s="7">
        <f t="shared" si="3"/>
        <v>3103.2352941176468</v>
      </c>
      <c r="J19" s="7">
        <f t="shared" si="0"/>
        <v>21722.647058823528</v>
      </c>
      <c r="K19" s="8">
        <v>91</v>
      </c>
      <c r="L19" s="3">
        <f>K19/E5</f>
        <v>1.3325183982718848E-5</v>
      </c>
      <c r="M19" s="8">
        <f>ROUNDDOWN(L19*E6,0)</f>
        <v>2</v>
      </c>
      <c r="N19" s="4">
        <v>392223</v>
      </c>
      <c r="O19" s="10">
        <f t="shared" si="1"/>
        <v>4310.1428571428569</v>
      </c>
      <c r="P19" s="7">
        <f t="shared" si="2"/>
        <v>8620.2857142857138</v>
      </c>
    </row>
    <row r="20" spans="2:16" s="2" customFormat="1" x14ac:dyDescent="0.3">
      <c r="B20" s="12" t="s">
        <v>80</v>
      </c>
      <c r="C20" t="s">
        <v>35</v>
      </c>
      <c r="D20" t="s">
        <v>22</v>
      </c>
      <c r="E20" s="1">
        <v>35</v>
      </c>
      <c r="F20" s="3">
        <f>E20/E5</f>
        <v>5.1250707625841723E-6</v>
      </c>
      <c r="G20">
        <f>ROUNDDOWN(F20*E6,0)</f>
        <v>0</v>
      </c>
      <c r="H20" s="4">
        <v>7667267</v>
      </c>
      <c r="I20" s="7">
        <f t="shared" si="3"/>
        <v>219064.77142857143</v>
      </c>
      <c r="J20" s="7">
        <f t="shared" si="0"/>
        <v>0</v>
      </c>
      <c r="K20" s="8">
        <v>25</v>
      </c>
      <c r="L20" s="3">
        <f>K20/E5</f>
        <v>3.6607648304172657E-6</v>
      </c>
      <c r="M20" s="8">
        <f>ROUNDDOWN(L20*E6,0)</f>
        <v>0</v>
      </c>
      <c r="N20" s="4">
        <v>515037</v>
      </c>
      <c r="O20" s="10">
        <f t="shared" si="1"/>
        <v>20601.48</v>
      </c>
      <c r="P20" s="7">
        <f t="shared" si="2"/>
        <v>0</v>
      </c>
    </row>
    <row r="21" spans="2:16" s="2" customFormat="1" x14ac:dyDescent="0.3">
      <c r="B21" s="12" t="s">
        <v>80</v>
      </c>
      <c r="C21" t="s">
        <v>36</v>
      </c>
      <c r="D21" t="s">
        <v>22</v>
      </c>
      <c r="E21" s="1">
        <v>113</v>
      </c>
      <c r="F21" s="3">
        <f>E21/E5</f>
        <v>1.6546657033486043E-5</v>
      </c>
      <c r="G21">
        <f>ROUNDDOWN(F21*E6,0)</f>
        <v>3</v>
      </c>
      <c r="H21" s="4">
        <v>595993</v>
      </c>
      <c r="I21" s="7">
        <f t="shared" si="3"/>
        <v>5274.2743362831861</v>
      </c>
      <c r="J21" s="7">
        <f t="shared" si="0"/>
        <v>15822.823008849558</v>
      </c>
      <c r="K21" s="8">
        <v>18</v>
      </c>
      <c r="L21" s="3">
        <f>K21/E5</f>
        <v>2.6357506779004311E-6</v>
      </c>
      <c r="M21" s="8">
        <f>ROUNDDOWN(L21*E6,0)</f>
        <v>0</v>
      </c>
      <c r="N21" s="4">
        <v>1168782</v>
      </c>
      <c r="O21" s="10">
        <f t="shared" si="1"/>
        <v>64932.333333333336</v>
      </c>
      <c r="P21" s="7">
        <f t="shared" si="2"/>
        <v>0</v>
      </c>
    </row>
    <row r="22" spans="2:16" s="2" customFormat="1" x14ac:dyDescent="0.3">
      <c r="B22" s="12" t="s">
        <v>80</v>
      </c>
      <c r="C22" t="s">
        <v>10</v>
      </c>
      <c r="D22" t="s">
        <v>22</v>
      </c>
      <c r="E22" s="1">
        <v>46</v>
      </c>
      <c r="F22" s="3">
        <f>E22/E5</f>
        <v>6.7358072879677688E-6</v>
      </c>
      <c r="G22">
        <f>ROUNDDOWN(F22*E6,0)</f>
        <v>1</v>
      </c>
      <c r="H22" s="4">
        <v>707</v>
      </c>
      <c r="I22" s="7">
        <f t="shared" si="3"/>
        <v>15.369565217391305</v>
      </c>
      <c r="J22" s="7">
        <f t="shared" si="0"/>
        <v>15.369565217391305</v>
      </c>
      <c r="K22" s="8">
        <v>5</v>
      </c>
      <c r="L22" s="3">
        <f>K22/E5</f>
        <v>7.3215296608345309E-7</v>
      </c>
      <c r="M22" s="8">
        <f>ROUNDDOWN(L22*E6,0)</f>
        <v>0</v>
      </c>
      <c r="N22" s="10">
        <v>0</v>
      </c>
      <c r="O22" s="10">
        <f t="shared" si="1"/>
        <v>0</v>
      </c>
      <c r="P22" s="7">
        <f t="shared" si="2"/>
        <v>0</v>
      </c>
    </row>
    <row r="23" spans="2:16" s="2" customFormat="1" x14ac:dyDescent="0.3">
      <c r="B23" s="12" t="s">
        <v>80</v>
      </c>
      <c r="C23" t="s">
        <v>37</v>
      </c>
      <c r="D23" t="s">
        <v>22</v>
      </c>
      <c r="E23" s="1"/>
      <c r="F23" s="3">
        <f>E23/E5</f>
        <v>0</v>
      </c>
      <c r="G23">
        <f>ROUNDDOWN(F23*E6,0)</f>
        <v>0</v>
      </c>
      <c r="H23" s="4"/>
      <c r="I23" s="7" t="e">
        <f t="shared" si="3"/>
        <v>#DIV/0!</v>
      </c>
      <c r="J23" s="7" t="e">
        <f t="shared" si="0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80</v>
      </c>
      <c r="C24" t="s">
        <v>38</v>
      </c>
      <c r="D24" t="s">
        <v>22</v>
      </c>
      <c r="E24" s="1"/>
      <c r="F24" s="3">
        <f>E24/E5</f>
        <v>0</v>
      </c>
      <c r="G24">
        <f>ROUNDDOWN(F24*E6,0)</f>
        <v>0</v>
      </c>
      <c r="H24" s="4"/>
      <c r="I24" s="7" t="e">
        <f t="shared" si="3"/>
        <v>#DIV/0!</v>
      </c>
      <c r="J24" s="7" t="e">
        <f t="shared" si="0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80</v>
      </c>
      <c r="C25" t="s">
        <v>39</v>
      </c>
      <c r="D25" t="s">
        <v>22</v>
      </c>
      <c r="E25" s="1">
        <v>629</v>
      </c>
      <c r="F25" s="3">
        <f>E25/E5</f>
        <v>9.2104843133298405E-5</v>
      </c>
      <c r="G25">
        <f>ROUNDDOWN(F25*E6,0)</f>
        <v>16</v>
      </c>
      <c r="H25" s="4">
        <v>0</v>
      </c>
      <c r="I25" s="7">
        <f t="shared" si="3"/>
        <v>0</v>
      </c>
      <c r="J25" s="7">
        <f t="shared" si="0"/>
        <v>0</v>
      </c>
      <c r="K25" s="8">
        <v>746</v>
      </c>
      <c r="L25" s="3">
        <f>K25/E5</f>
        <v>1.0923722253965121E-4</v>
      </c>
      <c r="M25" s="8">
        <f>ROUNDDOWN(L25*E6,0)</f>
        <v>19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80</v>
      </c>
      <c r="C26" t="s">
        <v>40</v>
      </c>
      <c r="D26" t="s">
        <v>22</v>
      </c>
      <c r="E26" s="1">
        <v>1067</v>
      </c>
      <c r="F26" s="3">
        <f>E26/E5</f>
        <v>1.562414429622089E-4</v>
      </c>
      <c r="G26">
        <f>ROUNDDOWN(F26*E6,0)</f>
        <v>28</v>
      </c>
      <c r="H26" s="4">
        <v>1641120</v>
      </c>
      <c r="I26" s="7">
        <f t="shared" si="3"/>
        <v>1538.0693533270853</v>
      </c>
      <c r="J26" s="7">
        <f t="shared" si="0"/>
        <v>43065.941893158386</v>
      </c>
      <c r="K26" s="8">
        <v>404</v>
      </c>
      <c r="L26" s="3">
        <f>K26/E5</f>
        <v>5.915795965954301E-5</v>
      </c>
      <c r="M26" s="8">
        <f>ROUNDDOWN(L26*E6,0)</f>
        <v>10</v>
      </c>
      <c r="N26" s="4">
        <v>807007</v>
      </c>
      <c r="O26" s="10">
        <f t="shared" si="1"/>
        <v>1997.5420792079208</v>
      </c>
      <c r="P26" s="7">
        <f t="shared" si="2"/>
        <v>19975.420792079207</v>
      </c>
    </row>
    <row r="27" spans="2:16" s="2" customFormat="1" x14ac:dyDescent="0.3">
      <c r="B27" s="12" t="s">
        <v>80</v>
      </c>
      <c r="C27" t="s">
        <v>41</v>
      </c>
      <c r="D27" t="s">
        <v>22</v>
      </c>
      <c r="E27" s="1">
        <v>83</v>
      </c>
      <c r="F27" s="3">
        <f>E27/E5</f>
        <v>1.2153739236985323E-5</v>
      </c>
      <c r="G27">
        <f>ROUNDDOWN(F27*E6,0)</f>
        <v>2</v>
      </c>
      <c r="H27" s="4">
        <v>629450</v>
      </c>
      <c r="I27" s="7">
        <f t="shared" si="3"/>
        <v>7583.734939759036</v>
      </c>
      <c r="J27" s="7">
        <f t="shared" si="0"/>
        <v>15167.469879518072</v>
      </c>
      <c r="K27" s="8">
        <v>34</v>
      </c>
      <c r="L27" s="3">
        <f>K27/E5</f>
        <v>4.9786401693674814E-6</v>
      </c>
      <c r="M27" s="8">
        <f>ROUNDDOWN(L27*E6,0)</f>
        <v>0</v>
      </c>
      <c r="N27" s="4">
        <v>827641</v>
      </c>
      <c r="O27" s="10">
        <f>N27/K27</f>
        <v>24342.382352941175</v>
      </c>
      <c r="P27" s="7">
        <f t="shared" si="2"/>
        <v>0</v>
      </c>
    </row>
    <row r="28" spans="2:16" s="2" customFormat="1" x14ac:dyDescent="0.3">
      <c r="B28" s="12" t="s">
        <v>80</v>
      </c>
      <c r="C28" t="s">
        <v>42</v>
      </c>
      <c r="D28" t="s">
        <v>22</v>
      </c>
      <c r="E28" s="1">
        <v>222</v>
      </c>
      <c r="F28" s="3">
        <f>E28/E5</f>
        <v>3.2507591694105318E-5</v>
      </c>
      <c r="G28">
        <f>ROUNDDOWN(F28*E6,0)</f>
        <v>5</v>
      </c>
      <c r="H28" s="4">
        <v>826044</v>
      </c>
      <c r="I28" s="7">
        <f t="shared" si="3"/>
        <v>3720.9189189189187</v>
      </c>
      <c r="J28" s="7">
        <f>I28*G28</f>
        <v>18604.594594594593</v>
      </c>
      <c r="K28" s="8">
        <v>97</v>
      </c>
      <c r="L28" s="3">
        <f>K28/E5</f>
        <v>1.4203767542018991E-5</v>
      </c>
      <c r="M28" s="8">
        <f>ROUNDDOWN(L28*E6,0)</f>
        <v>2</v>
      </c>
      <c r="N28" s="4">
        <v>428273</v>
      </c>
      <c r="O28" s="10">
        <f t="shared" si="1"/>
        <v>4415.1855670103096</v>
      </c>
      <c r="P28" s="7">
        <f>M28*O28</f>
        <v>8830.3711340206191</v>
      </c>
    </row>
    <row r="29" spans="2:16" s="2" customFormat="1" x14ac:dyDescent="0.3">
      <c r="B29" s="12" t="s">
        <v>80</v>
      </c>
      <c r="C29" t="s">
        <v>11</v>
      </c>
      <c r="D29" t="s">
        <v>22</v>
      </c>
      <c r="E29" s="1">
        <v>507</v>
      </c>
      <c r="F29" s="3">
        <f>E29/E5</f>
        <v>7.4240310760862146E-5</v>
      </c>
      <c r="G29">
        <f>ROUNDDOWN(F29*E6,0)</f>
        <v>13</v>
      </c>
      <c r="H29" s="4">
        <v>750727</v>
      </c>
      <c r="I29" s="7">
        <f t="shared" si="3"/>
        <v>1480.7238658777121</v>
      </c>
      <c r="J29" s="7">
        <f t="shared" si="0"/>
        <v>19249.410256410258</v>
      </c>
      <c r="K29" s="8">
        <v>147</v>
      </c>
      <c r="L29" s="3">
        <f>K29/E5</f>
        <v>2.1525297202853522E-5</v>
      </c>
      <c r="M29" s="8">
        <f>ROUNDDOWN(L29*E6,0)</f>
        <v>3</v>
      </c>
      <c r="N29" s="4">
        <v>278229</v>
      </c>
      <c r="O29" s="10">
        <f t="shared" si="1"/>
        <v>1892.7142857142858</v>
      </c>
      <c r="P29" s="7">
        <f t="shared" si="2"/>
        <v>5678.1428571428569</v>
      </c>
    </row>
    <row r="30" spans="2:16" s="2" customFormat="1" x14ac:dyDescent="0.3">
      <c r="B30" s="12" t="s">
        <v>80</v>
      </c>
      <c r="C30" t="s">
        <v>12</v>
      </c>
      <c r="D30" t="s">
        <v>22</v>
      </c>
      <c r="E30" s="1">
        <v>310</v>
      </c>
      <c r="F30" s="3">
        <f>E30/E5</f>
        <v>4.5393483897174098E-5</v>
      </c>
      <c r="G30">
        <f>ROUNDDOWN(F30*E6,0)</f>
        <v>8</v>
      </c>
      <c r="H30" s="4">
        <v>127466</v>
      </c>
      <c r="I30" s="7">
        <f t="shared" si="3"/>
        <v>411.18064516129033</v>
      </c>
      <c r="J30" s="7">
        <f t="shared" si="0"/>
        <v>3289.4451612903226</v>
      </c>
      <c r="K30" s="8">
        <v>51</v>
      </c>
      <c r="L30" s="3">
        <f>K30/E5</f>
        <v>7.4679602540512221E-6</v>
      </c>
      <c r="M30" s="8">
        <f>ROUNDDOWN(L30*E6,0)</f>
        <v>1</v>
      </c>
      <c r="N30" s="4">
        <v>57192</v>
      </c>
      <c r="O30" s="10">
        <f t="shared" si="1"/>
        <v>1121.4117647058824</v>
      </c>
      <c r="P30" s="7">
        <f t="shared" si="2"/>
        <v>1121.4117647058824</v>
      </c>
    </row>
    <row r="31" spans="2:16" s="2" customFormat="1" x14ac:dyDescent="0.3">
      <c r="B31" s="12" t="s">
        <v>80</v>
      </c>
      <c r="C31" t="s">
        <v>13</v>
      </c>
      <c r="D31" t="s">
        <v>22</v>
      </c>
      <c r="E31" s="1">
        <v>34</v>
      </c>
      <c r="F31" s="3">
        <f>E31/E5</f>
        <v>4.9786401693674814E-6</v>
      </c>
      <c r="G31">
        <f>ROUNDDOWN(F31*E6,0)</f>
        <v>0</v>
      </c>
      <c r="H31" s="4">
        <v>16325</v>
      </c>
      <c r="I31" s="7">
        <f>H31/E31</f>
        <v>480.14705882352939</v>
      </c>
      <c r="J31" s="7">
        <f t="shared" si="0"/>
        <v>0</v>
      </c>
      <c r="K31" s="8">
        <v>4</v>
      </c>
      <c r="L31" s="3">
        <f>K31/E5</f>
        <v>5.8572237286676247E-7</v>
      </c>
      <c r="M31" s="8">
        <f>ROUNDDOWN(L31*E6,0)</f>
        <v>0</v>
      </c>
      <c r="N31" s="4">
        <v>200</v>
      </c>
      <c r="O31" s="10">
        <f t="shared" si="1"/>
        <v>50</v>
      </c>
      <c r="P31" s="7">
        <f t="shared" si="2"/>
        <v>0</v>
      </c>
    </row>
    <row r="32" spans="2:16" s="2" customFormat="1" x14ac:dyDescent="0.3">
      <c r="B32" s="12" t="s">
        <v>80</v>
      </c>
      <c r="C32" t="s">
        <v>43</v>
      </c>
      <c r="D32" t="s">
        <v>22</v>
      </c>
      <c r="E32" s="1">
        <v>144</v>
      </c>
      <c r="F32" s="3">
        <f>E32/E5</f>
        <v>2.1086005423203449E-5</v>
      </c>
      <c r="G32">
        <f>ROUNDDOWN(F32*E6,0)</f>
        <v>3</v>
      </c>
      <c r="H32" s="4">
        <v>1090182</v>
      </c>
      <c r="I32" s="7">
        <f t="shared" si="3"/>
        <v>7570.708333333333</v>
      </c>
      <c r="J32" s="7">
        <f t="shared" si="0"/>
        <v>22712.125</v>
      </c>
      <c r="K32" s="8">
        <v>76</v>
      </c>
      <c r="L32" s="3">
        <f>K32/E5</f>
        <v>1.1128725084468488E-5</v>
      </c>
      <c r="M32" s="8">
        <f>ROUNDDOWN(L32*E6,0)</f>
        <v>2</v>
      </c>
      <c r="N32" s="4">
        <v>4483062</v>
      </c>
      <c r="O32" s="10">
        <f t="shared" si="1"/>
        <v>58987.65789473684</v>
      </c>
      <c r="P32" s="7">
        <f t="shared" si="2"/>
        <v>117975.31578947368</v>
      </c>
    </row>
    <row r="33" spans="2:16" s="2" customFormat="1" x14ac:dyDescent="0.3">
      <c r="B33" s="12" t="s">
        <v>80</v>
      </c>
      <c r="C33" t="s">
        <v>44</v>
      </c>
      <c r="D33" t="s">
        <v>22</v>
      </c>
      <c r="E33" s="1"/>
      <c r="F33" s="3">
        <f>E33/E5</f>
        <v>0</v>
      </c>
      <c r="G33">
        <f>ROUNDDOWN(F33*E6,0)</f>
        <v>0</v>
      </c>
      <c r="H33" s="4"/>
      <c r="I33" s="7" t="e">
        <f t="shared" si="3"/>
        <v>#DIV/0!</v>
      </c>
      <c r="J33" s="7" t="e">
        <f t="shared" si="0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80</v>
      </c>
      <c r="C34" t="s">
        <v>14</v>
      </c>
      <c r="D34" t="s">
        <v>22</v>
      </c>
      <c r="E34" s="1">
        <v>343</v>
      </c>
      <c r="F34" s="3">
        <f>E34/E5</f>
        <v>5.0225693473324888E-5</v>
      </c>
      <c r="G34">
        <f>ROUNDDOWN(F34*E6,0)</f>
        <v>9</v>
      </c>
      <c r="H34" s="4">
        <v>3477664</v>
      </c>
      <c r="I34" s="7">
        <f t="shared" si="3"/>
        <v>10138.962099125365</v>
      </c>
      <c r="J34" s="7">
        <f t="shared" si="0"/>
        <v>91250.658892128282</v>
      </c>
      <c r="K34" s="8">
        <v>72</v>
      </c>
      <c r="L34" s="3">
        <f>K34/E5</f>
        <v>1.0543002711601724E-5</v>
      </c>
      <c r="M34" s="8">
        <f>ROUNDDOWN(L34*E6,0)</f>
        <v>1</v>
      </c>
      <c r="N34" s="4">
        <v>689474</v>
      </c>
      <c r="O34" s="10">
        <f t="shared" si="1"/>
        <v>9576.0277777777774</v>
      </c>
      <c r="P34" s="7">
        <f t="shared" si="2"/>
        <v>9576.0277777777774</v>
      </c>
    </row>
    <row r="35" spans="2:16" s="2" customFormat="1" x14ac:dyDescent="0.3">
      <c r="B35" s="12" t="s">
        <v>80</v>
      </c>
      <c r="C35" t="s">
        <v>45</v>
      </c>
      <c r="D35" t="s">
        <v>22</v>
      </c>
      <c r="E35" s="1">
        <v>232</v>
      </c>
      <c r="F35" s="3">
        <f>E35/E5</f>
        <v>3.3971897626272225E-5</v>
      </c>
      <c r="G35">
        <f>ROUNDDOWN(F35*E6,0)</f>
        <v>6</v>
      </c>
      <c r="H35" s="4">
        <v>729247</v>
      </c>
      <c r="I35" s="7">
        <f t="shared" si="3"/>
        <v>3143.3060344827586</v>
      </c>
      <c r="J35" s="7">
        <f t="shared" si="0"/>
        <v>18859.836206896551</v>
      </c>
      <c r="K35" s="8">
        <v>29</v>
      </c>
      <c r="L35" s="3">
        <f>K35/E5</f>
        <v>4.2464872032840281E-6</v>
      </c>
      <c r="M35" s="8">
        <f>ROUNDDOWN(L35*E6,0)</f>
        <v>0</v>
      </c>
      <c r="N35" s="4">
        <v>49275</v>
      </c>
      <c r="O35" s="10">
        <f t="shared" si="1"/>
        <v>1699.1379310344828</v>
      </c>
      <c r="P35" s="7">
        <f t="shared" si="2"/>
        <v>0</v>
      </c>
    </row>
    <row r="36" spans="2:16" s="2" customFormat="1" x14ac:dyDescent="0.3">
      <c r="B36" s="12" t="s">
        <v>80</v>
      </c>
      <c r="C36" t="s">
        <v>15</v>
      </c>
      <c r="D36" t="s">
        <v>22</v>
      </c>
      <c r="E36" s="1">
        <v>199</v>
      </c>
      <c r="F36" s="3">
        <f>E36/E5</f>
        <v>2.9139688050121435E-5</v>
      </c>
      <c r="G36">
        <f>ROUNDDOWN(F36*E6,0)</f>
        <v>5</v>
      </c>
      <c r="H36" s="4">
        <v>18762</v>
      </c>
      <c r="I36" s="7">
        <f t="shared" si="3"/>
        <v>94.281407035175874</v>
      </c>
      <c r="J36" s="7">
        <f t="shared" si="0"/>
        <v>471.4070351758794</v>
      </c>
      <c r="K36" s="8">
        <v>120</v>
      </c>
      <c r="L36" s="3">
        <f>K36/E5</f>
        <v>1.7571671186002876E-5</v>
      </c>
      <c r="M36" s="8">
        <f>ROUNDDOWN(L36*E6,0)</f>
        <v>3</v>
      </c>
      <c r="N36" s="6">
        <v>119327</v>
      </c>
      <c r="O36" s="10">
        <f t="shared" si="1"/>
        <v>994.39166666666665</v>
      </c>
      <c r="P36" s="7">
        <f t="shared" si="2"/>
        <v>2983.1750000000002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6352</v>
      </c>
      <c r="G38">
        <f>SUM(G8:G36)</f>
        <v>152</v>
      </c>
      <c r="I38" s="7">
        <f t="shared" si="3"/>
        <v>0</v>
      </c>
      <c r="J38" s="7">
        <f t="shared" si="0"/>
        <v>0</v>
      </c>
      <c r="L38" s="3"/>
      <c r="M38" s="3"/>
      <c r="N38" s="10"/>
      <c r="O38" s="10"/>
    </row>
    <row r="40" spans="2:16" x14ac:dyDescent="0.3">
      <c r="C40" t="s">
        <v>83</v>
      </c>
    </row>
    <row r="41" spans="2:16" x14ac:dyDescent="0.3">
      <c r="C41" t="s">
        <v>84</v>
      </c>
    </row>
  </sheetData>
  <phoneticPr fontId="1" type="noConversion"/>
  <hyperlinks>
    <hyperlink ref="B7" r:id="rId1" location="?s=47" xr:uid="{08B89EFF-C13D-4E87-B14B-00C96A31860D}"/>
    <hyperlink ref="B8:B36" r:id="rId2" location="?s=47" display="https://www.ic3.gov/Media/PDF/AnnualReport/2019State/StateReport.aspx#?s=47" xr:uid="{3DC89C06-09DC-423C-B04C-0C9020ACB76C}"/>
    <hyperlink ref="B5" r:id="rId3" xr:uid="{C6DD6FA2-BA07-4B10-9A96-A836419C18D1}"/>
    <hyperlink ref="B6" r:id="rId4" xr:uid="{B221DA8F-4A9B-4519-83F6-2F1B04F6AC78}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8CF1-8DE5-411C-9EAC-D0B24CFD95D6}">
  <dimension ref="B4:P43"/>
  <sheetViews>
    <sheetView topLeftCell="B16" workbookViewId="0">
      <selection activeCell="F29" sqref="F29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s="12" t="s">
        <v>61</v>
      </c>
      <c r="C5" t="s">
        <v>62</v>
      </c>
      <c r="D5" t="s">
        <v>8</v>
      </c>
      <c r="E5" s="1">
        <v>6925619</v>
      </c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s="14" t="s">
        <v>60</v>
      </c>
      <c r="C6" t="s">
        <v>63</v>
      </c>
      <c r="D6" t="s">
        <v>8</v>
      </c>
      <c r="E6" s="13">
        <v>181560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70</v>
      </c>
      <c r="C7" t="s">
        <v>26</v>
      </c>
      <c r="D7" t="s">
        <v>22</v>
      </c>
      <c r="E7" s="1">
        <v>219</v>
      </c>
      <c r="F7" s="3">
        <f>E7/E5</f>
        <v>3.1621722188298259E-5</v>
      </c>
      <c r="G7">
        <f>ROUNDDOWN(F7*E6,0)</f>
        <v>5</v>
      </c>
      <c r="H7" s="4">
        <v>563344</v>
      </c>
      <c r="I7" s="7">
        <f>H7/E7</f>
        <v>2572.3470319634703</v>
      </c>
      <c r="J7" s="7">
        <f>I7*G7</f>
        <v>12861.735159817352</v>
      </c>
      <c r="K7" s="8">
        <v>57</v>
      </c>
      <c r="L7" s="3">
        <f>K7/E5</f>
        <v>8.2303112544885874E-6</v>
      </c>
      <c r="M7" s="8">
        <f>ROUNDDOWN(L7*E6,0)</f>
        <v>1</v>
      </c>
      <c r="N7" s="4">
        <v>147490</v>
      </c>
      <c r="O7" s="10">
        <f>N7/K7</f>
        <v>2587.5438596491226</v>
      </c>
      <c r="P7" s="7">
        <f>M7*O7</f>
        <v>2587.5438596491226</v>
      </c>
    </row>
    <row r="8" spans="2:16" s="2" customFormat="1" x14ac:dyDescent="0.3">
      <c r="B8" s="12" t="s">
        <v>70</v>
      </c>
      <c r="C8" t="s">
        <v>24</v>
      </c>
      <c r="D8" t="s">
        <v>22</v>
      </c>
      <c r="E8" s="1">
        <v>249</v>
      </c>
      <c r="F8" s="3">
        <f>E8/E5</f>
        <v>3.5953464953818569E-5</v>
      </c>
      <c r="G8">
        <f>ROUNDDOWN(F8*E6,0)</f>
        <v>6</v>
      </c>
      <c r="H8" s="4">
        <v>20831147</v>
      </c>
      <c r="I8" s="7">
        <f>H8/E8</f>
        <v>83659.224899598397</v>
      </c>
      <c r="J8" s="7">
        <f t="shared" ref="J8:J38" si="0">I8*G8</f>
        <v>501955.34939759038</v>
      </c>
      <c r="K8" s="8">
        <v>41</v>
      </c>
      <c r="L8" s="3">
        <f>K8/E5</f>
        <v>5.9200484462110898E-6</v>
      </c>
      <c r="M8" s="8">
        <f>ROUNDDOWN(L8*E6,0)</f>
        <v>1</v>
      </c>
      <c r="N8" s="4">
        <v>3163786</v>
      </c>
      <c r="O8" s="10">
        <f t="shared" ref="O8:O36" si="1">N8/K8</f>
        <v>77165.512195121948</v>
      </c>
      <c r="P8" s="7">
        <f t="shared" ref="P8:P36" si="2">M8*O8</f>
        <v>77165.512195121948</v>
      </c>
    </row>
    <row r="9" spans="2:16" s="2" customFormat="1" x14ac:dyDescent="0.3">
      <c r="B9" s="12" t="s">
        <v>70</v>
      </c>
      <c r="C9" t="s">
        <v>27</v>
      </c>
      <c r="D9" t="s">
        <v>22</v>
      </c>
      <c r="E9" s="1" t="s">
        <v>64</v>
      </c>
      <c r="F9" s="3" t="e">
        <f>E9/E5</f>
        <v>#VALUE!</v>
      </c>
      <c r="G9" t="e">
        <f>ROUNDDOWN(F9*E6,0)</f>
        <v>#VALUE!</v>
      </c>
      <c r="H9" s="4"/>
      <c r="I9" s="7" t="e">
        <f t="shared" ref="I9:I38" si="3">H9/E9</f>
        <v>#VALUE!</v>
      </c>
      <c r="J9" s="7" t="e">
        <f t="shared" si="0"/>
        <v>#VALUE!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70</v>
      </c>
      <c r="C10" t="s">
        <v>28</v>
      </c>
      <c r="D10" t="s">
        <v>22</v>
      </c>
      <c r="E10" s="1">
        <v>334</v>
      </c>
      <c r="F10" s="3">
        <f>E10/E5</f>
        <v>4.8226736122792776E-5</v>
      </c>
      <c r="G10">
        <f>ROUNDDOWN(F10*E6,0)</f>
        <v>8</v>
      </c>
      <c r="H10" s="4">
        <v>4526218</v>
      </c>
      <c r="I10" s="7">
        <f t="shared" si="3"/>
        <v>13551.550898203594</v>
      </c>
      <c r="J10" s="7">
        <f t="shared" si="0"/>
        <v>108412.40718562875</v>
      </c>
      <c r="K10" s="8">
        <v>119</v>
      </c>
      <c r="L10" s="3">
        <f>K10/E5</f>
        <v>1.7182579636563894E-5</v>
      </c>
      <c r="M10" s="8">
        <f>ROUNDDOWN(L10*E6,0)</f>
        <v>3</v>
      </c>
      <c r="N10" s="4">
        <v>2617420</v>
      </c>
      <c r="O10" s="10">
        <f t="shared" si="1"/>
        <v>21995.126050420167</v>
      </c>
      <c r="P10" s="7">
        <f t="shared" si="2"/>
        <v>65985.378151260506</v>
      </c>
    </row>
    <row r="11" spans="2:16" s="2" customFormat="1" x14ac:dyDescent="0.3">
      <c r="B11" s="12" t="s">
        <v>70</v>
      </c>
      <c r="C11" t="s">
        <v>29</v>
      </c>
      <c r="D11" t="s">
        <v>22</v>
      </c>
      <c r="E11" s="1" t="s">
        <v>64</v>
      </c>
      <c r="F11" s="3" t="e">
        <f>E11/E5</f>
        <v>#VALUE!</v>
      </c>
      <c r="G11" t="e">
        <f>ROUNDDOWN(F11*E6,0)</f>
        <v>#VALUE!</v>
      </c>
      <c r="H11" s="6"/>
      <c r="I11" s="7" t="e">
        <f t="shared" si="3"/>
        <v>#VALUE!</v>
      </c>
      <c r="J11" s="7" t="e">
        <f t="shared" si="0"/>
        <v>#VALUE!</v>
      </c>
      <c r="K11" s="8"/>
      <c r="L11" s="3">
        <f>K11/E5</f>
        <v>0</v>
      </c>
      <c r="M11" s="8">
        <f>ROUNDDOWN(L11*E6,0)</f>
        <v>0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s="12" t="s">
        <v>70</v>
      </c>
      <c r="C12" t="s">
        <v>5</v>
      </c>
      <c r="D12" t="s">
        <v>22</v>
      </c>
      <c r="E12" s="1">
        <v>60</v>
      </c>
      <c r="F12" s="3">
        <f>E12/E5</f>
        <v>8.6634855310406181E-6</v>
      </c>
      <c r="G12">
        <f>ROUNDDOWN(F12*E6,0)</f>
        <v>1</v>
      </c>
      <c r="H12" s="5">
        <v>0</v>
      </c>
      <c r="I12" s="7">
        <f t="shared" si="3"/>
        <v>0</v>
      </c>
      <c r="J12" s="7">
        <f t="shared" si="0"/>
        <v>0</v>
      </c>
      <c r="K12" s="8">
        <v>12</v>
      </c>
      <c r="L12" s="3">
        <f>K12/E5</f>
        <v>1.7326971062081239E-6</v>
      </c>
      <c r="M12" s="8">
        <f>ROUNDDOWN(L12*E6,0)</f>
        <v>0</v>
      </c>
      <c r="N12" s="10">
        <v>0</v>
      </c>
      <c r="O12" s="10">
        <f t="shared" si="1"/>
        <v>0</v>
      </c>
      <c r="P12" s="7">
        <f t="shared" si="2"/>
        <v>0</v>
      </c>
    </row>
    <row r="13" spans="2:16" s="2" customFormat="1" x14ac:dyDescent="0.3">
      <c r="B13" s="12" t="s">
        <v>70</v>
      </c>
      <c r="C13" t="s">
        <v>6</v>
      </c>
      <c r="D13" t="s">
        <v>22</v>
      </c>
      <c r="E13" s="1">
        <v>29</v>
      </c>
      <c r="F13" s="3">
        <f>E13/E5</f>
        <v>4.1873513400029655E-6</v>
      </c>
      <c r="G13">
        <f>ROUNDDOWN(F13*E6,0)</f>
        <v>0</v>
      </c>
      <c r="H13" s="4">
        <v>1227717</v>
      </c>
      <c r="I13" s="7">
        <f t="shared" si="3"/>
        <v>42335.068965517239</v>
      </c>
      <c r="J13" s="7">
        <f t="shared" si="0"/>
        <v>0</v>
      </c>
      <c r="K13" s="8">
        <v>5</v>
      </c>
      <c r="L13" s="3">
        <f>K13/E5</f>
        <v>7.2195712758671828E-7</v>
      </c>
      <c r="M13" s="8">
        <f>ROUNDDOWN(L13*E6,0)</f>
        <v>0</v>
      </c>
      <c r="N13" s="4">
        <v>200121</v>
      </c>
      <c r="O13" s="10">
        <f t="shared" si="1"/>
        <v>40024.199999999997</v>
      </c>
      <c r="P13" s="7">
        <f t="shared" si="2"/>
        <v>0</v>
      </c>
    </row>
    <row r="14" spans="2:16" s="2" customFormat="1" x14ac:dyDescent="0.3">
      <c r="B14" s="12" t="s">
        <v>70</v>
      </c>
      <c r="C14" t="s">
        <v>30</v>
      </c>
      <c r="D14" t="s">
        <v>22</v>
      </c>
      <c r="E14" s="1">
        <v>298</v>
      </c>
      <c r="F14" s="3">
        <f>E14/E5</f>
        <v>4.3028644804168408E-5</v>
      </c>
      <c r="G14">
        <f>ROUNDDOWN(F14*E6,0)</f>
        <v>7</v>
      </c>
      <c r="H14" s="4">
        <v>549931</v>
      </c>
      <c r="I14" s="7">
        <f t="shared" si="3"/>
        <v>1845.4060402684563</v>
      </c>
      <c r="J14" s="7">
        <f t="shared" si="0"/>
        <v>12917.842281879195</v>
      </c>
      <c r="K14" s="8">
        <v>89</v>
      </c>
      <c r="L14" s="3">
        <f>K14/E5</f>
        <v>1.2850836871043584E-5</v>
      </c>
      <c r="M14" s="8">
        <f>ROUNDDOWN(L14*E6,0)</f>
        <v>2</v>
      </c>
      <c r="N14" s="4">
        <v>520658</v>
      </c>
      <c r="O14" s="10">
        <f t="shared" si="1"/>
        <v>5850.0898876404499</v>
      </c>
      <c r="P14" s="7">
        <f t="shared" si="2"/>
        <v>11700.1797752809</v>
      </c>
    </row>
    <row r="15" spans="2:16" s="2" customFormat="1" x14ac:dyDescent="0.3">
      <c r="B15" s="12" t="s">
        <v>70</v>
      </c>
      <c r="C15" t="s">
        <v>9</v>
      </c>
      <c r="D15" t="s">
        <v>22</v>
      </c>
      <c r="E15" s="1">
        <v>1185</v>
      </c>
      <c r="F15" s="3">
        <f>E15/E5</f>
        <v>1.7110383923805221E-4</v>
      </c>
      <c r="G15">
        <f>ROUNDDOWN(F15*E6,0)</f>
        <v>31</v>
      </c>
      <c r="H15" s="4" t="s">
        <v>71</v>
      </c>
      <c r="I15" s="7" t="e">
        <f t="shared" si="3"/>
        <v>#VALUE!</v>
      </c>
      <c r="J15" s="7" t="e">
        <f t="shared" si="0"/>
        <v>#VALUE!</v>
      </c>
      <c r="K15" s="8">
        <v>103</v>
      </c>
      <c r="L15" s="3">
        <f>K15/E5</f>
        <v>1.4872316828286396E-5</v>
      </c>
      <c r="M15" s="8">
        <f>ROUNDDOWN(L15*E6,0)</f>
        <v>2</v>
      </c>
      <c r="N15" s="4">
        <v>12250</v>
      </c>
      <c r="O15" s="10">
        <f t="shared" si="1"/>
        <v>118.93203883495146</v>
      </c>
      <c r="P15" s="7">
        <f t="shared" si="2"/>
        <v>237.86407766990291</v>
      </c>
    </row>
    <row r="16" spans="2:16" s="2" customFormat="1" x14ac:dyDescent="0.3">
      <c r="B16" s="12" t="s">
        <v>70</v>
      </c>
      <c r="C16" t="s">
        <v>31</v>
      </c>
      <c r="D16" t="s">
        <v>22</v>
      </c>
      <c r="E16" s="1">
        <v>218</v>
      </c>
      <c r="F16" s="3">
        <f>E16/E5</f>
        <v>3.1477330762780918E-5</v>
      </c>
      <c r="G16">
        <f>ROUNDDOWN(F16*E6,0)</f>
        <v>5</v>
      </c>
      <c r="H16" s="4" t="s">
        <v>72</v>
      </c>
      <c r="I16" s="7" t="e">
        <f t="shared" si="3"/>
        <v>#VALUE!</v>
      </c>
      <c r="J16" s="7" t="e">
        <f t="shared" si="0"/>
        <v>#VALUE!</v>
      </c>
      <c r="K16" s="8">
        <v>34</v>
      </c>
      <c r="L16" s="3">
        <f>K16/E5</f>
        <v>4.9093084675896841E-6</v>
      </c>
      <c r="M16" s="8">
        <f>ROUNDDOWN(L16*E6,0)</f>
        <v>0</v>
      </c>
      <c r="N16" s="4">
        <v>95030</v>
      </c>
      <c r="O16" s="10">
        <f t="shared" si="1"/>
        <v>2795</v>
      </c>
      <c r="P16" s="7">
        <f t="shared" si="2"/>
        <v>0</v>
      </c>
    </row>
    <row r="17" spans="2:16" s="2" customFormat="1" x14ac:dyDescent="0.3">
      <c r="B17" s="12" t="s">
        <v>70</v>
      </c>
      <c r="C17" t="s">
        <v>32</v>
      </c>
      <c r="D17" t="s">
        <v>22</v>
      </c>
      <c r="E17" s="1" t="s">
        <v>64</v>
      </c>
      <c r="F17" s="3" t="e">
        <f>E17/E5</f>
        <v>#VALUE!</v>
      </c>
      <c r="G17" t="e">
        <f>ROUNDDOWN(F17*E6,0)</f>
        <v>#VALUE!</v>
      </c>
      <c r="H17" s="4"/>
      <c r="I17" s="7" t="e">
        <f t="shared" si="3"/>
        <v>#VALUE!</v>
      </c>
      <c r="J17" s="7" t="e">
        <f t="shared" si="0"/>
        <v>#VALUE!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70</v>
      </c>
      <c r="C18" t="s">
        <v>33</v>
      </c>
      <c r="D18" t="s">
        <v>22</v>
      </c>
      <c r="E18" s="1">
        <v>75</v>
      </c>
      <c r="F18" s="3">
        <f>E18/E5</f>
        <v>1.0829356913800773E-5</v>
      </c>
      <c r="G18">
        <f>ROUNDDOWN(F18*E6,0)</f>
        <v>1</v>
      </c>
      <c r="H18" s="4">
        <v>735013</v>
      </c>
      <c r="I18" s="7">
        <f t="shared" si="3"/>
        <v>9800.1733333333341</v>
      </c>
      <c r="J18" s="7">
        <f t="shared" si="0"/>
        <v>9800.1733333333341</v>
      </c>
      <c r="K18" s="8">
        <v>18</v>
      </c>
      <c r="L18" s="3">
        <f>K18/E5</f>
        <v>2.5990456593121856E-6</v>
      </c>
      <c r="M18" s="8">
        <f>ROUNDDOWN(L18*E6,0)</f>
        <v>0</v>
      </c>
      <c r="N18" s="4">
        <v>4516</v>
      </c>
      <c r="O18" s="10">
        <f t="shared" si="1"/>
        <v>250.88888888888889</v>
      </c>
      <c r="P18" s="7">
        <f t="shared" si="2"/>
        <v>0</v>
      </c>
    </row>
    <row r="19" spans="2:16" s="2" customFormat="1" x14ac:dyDescent="0.3">
      <c r="B19" s="12" t="s">
        <v>70</v>
      </c>
      <c r="C19" t="s">
        <v>34</v>
      </c>
      <c r="D19" t="s">
        <v>22</v>
      </c>
      <c r="E19" s="1">
        <v>419</v>
      </c>
      <c r="F19" s="3">
        <f>E19/E5</f>
        <v>6.050000729176699E-5</v>
      </c>
      <c r="G19">
        <f>ROUNDDOWN(F19*E6,0)</f>
        <v>10</v>
      </c>
      <c r="H19" s="4">
        <v>1024515</v>
      </c>
      <c r="I19" s="7">
        <f t="shared" si="3"/>
        <v>2445.1431980906923</v>
      </c>
      <c r="J19" s="7">
        <f t="shared" si="0"/>
        <v>24451.431980906924</v>
      </c>
      <c r="K19" s="8">
        <v>120</v>
      </c>
      <c r="L19" s="3">
        <f>K19/E5</f>
        <v>1.7326971062081236E-5</v>
      </c>
      <c r="M19" s="8">
        <f>ROUNDDOWN(L19*E6,0)</f>
        <v>3</v>
      </c>
      <c r="N19" s="4">
        <v>144969</v>
      </c>
      <c r="O19" s="10">
        <f t="shared" si="1"/>
        <v>1208.075</v>
      </c>
      <c r="P19" s="7">
        <f t="shared" si="2"/>
        <v>3624.2250000000004</v>
      </c>
    </row>
    <row r="20" spans="2:16" s="2" customFormat="1" x14ac:dyDescent="0.3">
      <c r="B20" s="12" t="s">
        <v>70</v>
      </c>
      <c r="C20" t="s">
        <v>35</v>
      </c>
      <c r="D20" t="s">
        <v>22</v>
      </c>
      <c r="E20" s="1">
        <v>71</v>
      </c>
      <c r="F20" s="3">
        <f>E20/E5</f>
        <v>1.0251791211731399E-5</v>
      </c>
      <c r="G20">
        <f>ROUNDDOWN(F20*E6,0)</f>
        <v>1</v>
      </c>
      <c r="H20" s="4">
        <v>4465348</v>
      </c>
      <c r="I20" s="7">
        <f t="shared" si="3"/>
        <v>62892.225352112677</v>
      </c>
      <c r="J20" s="7">
        <f t="shared" si="0"/>
        <v>62892.225352112677</v>
      </c>
      <c r="K20" s="8">
        <v>14</v>
      </c>
      <c r="L20" s="3">
        <f>K20/E5</f>
        <v>2.021479957242811E-6</v>
      </c>
      <c r="M20" s="8">
        <f>ROUNDDOWN(L20*E6,0)</f>
        <v>0</v>
      </c>
      <c r="N20" s="4">
        <v>423449</v>
      </c>
      <c r="O20" s="10">
        <f t="shared" si="1"/>
        <v>30246.357142857141</v>
      </c>
      <c r="P20" s="7">
        <f t="shared" si="2"/>
        <v>0</v>
      </c>
    </row>
    <row r="21" spans="2:16" s="2" customFormat="1" x14ac:dyDescent="0.3">
      <c r="B21" s="12" t="s">
        <v>70</v>
      </c>
      <c r="C21" t="s">
        <v>36</v>
      </c>
      <c r="D21" t="s">
        <v>22</v>
      </c>
      <c r="E21" s="1">
        <v>130</v>
      </c>
      <c r="F21" s="3">
        <f>E21/E5</f>
        <v>1.8770885317254675E-5</v>
      </c>
      <c r="G21">
        <f>ROUNDDOWN(F21*E6,0)</f>
        <v>3</v>
      </c>
      <c r="H21" s="4">
        <v>798607</v>
      </c>
      <c r="I21" s="7">
        <f t="shared" si="3"/>
        <v>6143.1307692307691</v>
      </c>
      <c r="J21" s="7">
        <f t="shared" si="0"/>
        <v>18429.392307692309</v>
      </c>
      <c r="K21" s="8">
        <v>19</v>
      </c>
      <c r="L21" s="3">
        <f>K21/E5</f>
        <v>2.7434370848295291E-6</v>
      </c>
      <c r="M21" s="8">
        <f>ROUNDDOWN(L21*E6,0)</f>
        <v>0</v>
      </c>
      <c r="N21" s="4">
        <v>142442</v>
      </c>
      <c r="O21" s="10">
        <f t="shared" si="1"/>
        <v>7496.9473684210525</v>
      </c>
      <c r="P21" s="7">
        <f t="shared" si="2"/>
        <v>0</v>
      </c>
    </row>
    <row r="22" spans="2:16" s="2" customFormat="1" x14ac:dyDescent="0.3">
      <c r="B22" s="12" t="s">
        <v>70</v>
      </c>
      <c r="C22" t="s">
        <v>10</v>
      </c>
      <c r="D22" t="s">
        <v>22</v>
      </c>
      <c r="E22" s="1">
        <v>18</v>
      </c>
      <c r="F22" s="3">
        <f>E22/E5</f>
        <v>2.5990456593121856E-6</v>
      </c>
      <c r="G22">
        <f>ROUNDDOWN(F22*E6,0)</f>
        <v>0</v>
      </c>
      <c r="H22" s="4">
        <v>7696</v>
      </c>
      <c r="I22" s="7">
        <f t="shared" si="3"/>
        <v>427.55555555555554</v>
      </c>
      <c r="J22" s="7">
        <f t="shared" si="0"/>
        <v>0</v>
      </c>
      <c r="K22" s="8">
        <v>3</v>
      </c>
      <c r="L22" s="3">
        <f>K22/E5</f>
        <v>4.3317427655203097E-7</v>
      </c>
      <c r="M22" s="8">
        <f>ROUNDDOWN(L22*E6,0)</f>
        <v>0</v>
      </c>
      <c r="N22" s="10">
        <v>0</v>
      </c>
      <c r="O22" s="10">
        <f t="shared" si="1"/>
        <v>0</v>
      </c>
      <c r="P22" s="7">
        <f t="shared" si="2"/>
        <v>0</v>
      </c>
    </row>
    <row r="23" spans="2:16" s="2" customFormat="1" x14ac:dyDescent="0.3">
      <c r="B23" s="12" t="s">
        <v>70</v>
      </c>
      <c r="C23" t="s">
        <v>37</v>
      </c>
      <c r="D23" t="s">
        <v>22</v>
      </c>
      <c r="E23" s="1" t="s">
        <v>64</v>
      </c>
      <c r="F23" s="3" t="e">
        <f>E23/E5</f>
        <v>#VALUE!</v>
      </c>
      <c r="G23" t="e">
        <f>ROUNDDOWN(F23*E6,0)</f>
        <v>#VALUE!</v>
      </c>
      <c r="H23" s="4"/>
      <c r="I23" s="7" t="e">
        <f t="shared" si="3"/>
        <v>#VALUE!</v>
      </c>
      <c r="J23" s="7" t="e">
        <f t="shared" si="0"/>
        <v>#VALUE!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70</v>
      </c>
      <c r="C24" t="s">
        <v>38</v>
      </c>
      <c r="D24" t="s">
        <v>22</v>
      </c>
      <c r="E24" s="1" t="s">
        <v>64</v>
      </c>
      <c r="F24" s="3" t="e">
        <f>E24/E5</f>
        <v>#VALUE!</v>
      </c>
      <c r="G24" t="e">
        <f>ROUNDDOWN(F24*E6,0)</f>
        <v>#VALUE!</v>
      </c>
      <c r="H24" s="4"/>
      <c r="I24" s="7" t="e">
        <f t="shared" si="3"/>
        <v>#VALUE!</v>
      </c>
      <c r="J24" s="7" t="e">
        <f t="shared" si="0"/>
        <v>#VALUE!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70</v>
      </c>
      <c r="C25" t="s">
        <v>39</v>
      </c>
      <c r="D25" t="s">
        <v>22</v>
      </c>
      <c r="E25" s="1">
        <v>843</v>
      </c>
      <c r="F25" s="3">
        <f>E25/E5</f>
        <v>1.217219717111207E-4</v>
      </c>
      <c r="G25">
        <f>ROUNDDOWN(F25*E6,0)</f>
        <v>22</v>
      </c>
      <c r="H25" s="4">
        <v>0</v>
      </c>
      <c r="I25" s="7">
        <f t="shared" si="3"/>
        <v>0</v>
      </c>
      <c r="J25" s="7">
        <f t="shared" si="0"/>
        <v>0</v>
      </c>
      <c r="K25" s="8">
        <v>693</v>
      </c>
      <c r="L25" s="3">
        <f>K25/E5</f>
        <v>1.0006325788351915E-4</v>
      </c>
      <c r="M25" s="8">
        <f>ROUNDDOWN(L25*E6,0)</f>
        <v>18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70</v>
      </c>
      <c r="C26" t="s">
        <v>40</v>
      </c>
      <c r="D26" t="s">
        <v>22</v>
      </c>
      <c r="E26" s="1">
        <v>1922</v>
      </c>
      <c r="F26" s="3">
        <f>E26/E5</f>
        <v>2.7752031984433452E-4</v>
      </c>
      <c r="G26">
        <f>ROUNDDOWN(F26*E6,0)</f>
        <v>50</v>
      </c>
      <c r="H26" s="4">
        <v>2347435</v>
      </c>
      <c r="I26" s="7">
        <f t="shared" si="3"/>
        <v>1221.350156087409</v>
      </c>
      <c r="J26" s="7">
        <f t="shared" si="0"/>
        <v>61067.507804370449</v>
      </c>
      <c r="K26" s="8">
        <v>543</v>
      </c>
      <c r="L26" s="3">
        <f>K26/E5</f>
        <v>7.8404544055917603E-5</v>
      </c>
      <c r="M26" s="8">
        <f>ROUNDDOWN(L26*E6,0)</f>
        <v>14</v>
      </c>
      <c r="N26" s="4">
        <v>3447980</v>
      </c>
      <c r="O26" s="10">
        <f t="shared" si="1"/>
        <v>6349.8710865561698</v>
      </c>
      <c r="P26" s="7">
        <f t="shared" si="2"/>
        <v>88898.195211786369</v>
      </c>
    </row>
    <row r="27" spans="2:16" s="2" customFormat="1" x14ac:dyDescent="0.3">
      <c r="B27" s="12" t="s">
        <v>70</v>
      </c>
      <c r="C27" t="s">
        <v>41</v>
      </c>
      <c r="D27" t="s">
        <v>22</v>
      </c>
      <c r="E27" s="1">
        <v>110</v>
      </c>
      <c r="F27" s="3">
        <f>E27/E5</f>
        <v>1.5883056806907801E-5</v>
      </c>
      <c r="G27">
        <f>ROUNDDOWN(F27*E6,0)</f>
        <v>2</v>
      </c>
      <c r="H27" s="4">
        <v>431446</v>
      </c>
      <c r="I27" s="7">
        <f t="shared" si="3"/>
        <v>3922.2363636363634</v>
      </c>
      <c r="J27" s="7">
        <f t="shared" si="0"/>
        <v>7844.4727272727268</v>
      </c>
      <c r="K27" s="8">
        <v>38</v>
      </c>
      <c r="L27" s="3">
        <f>K27/E5</f>
        <v>5.4868741696590583E-6</v>
      </c>
      <c r="M27" s="8">
        <f>ROUNDDOWN(L27*E6,0)</f>
        <v>0</v>
      </c>
      <c r="N27" s="4">
        <v>483231</v>
      </c>
      <c r="O27" s="10">
        <f>N27/K27</f>
        <v>12716.605263157895</v>
      </c>
      <c r="P27" s="7">
        <f t="shared" si="2"/>
        <v>0</v>
      </c>
    </row>
    <row r="28" spans="2:16" s="2" customFormat="1" x14ac:dyDescent="0.3">
      <c r="B28" s="12" t="s">
        <v>70</v>
      </c>
      <c r="C28" t="s">
        <v>42</v>
      </c>
      <c r="D28" t="s">
        <v>22</v>
      </c>
      <c r="E28" s="1">
        <v>162</v>
      </c>
      <c r="F28" s="3">
        <f>E28/E5</f>
        <v>2.3391410933809672E-5</v>
      </c>
      <c r="G28">
        <f>ROUNDDOWN(F28*E6,0)</f>
        <v>4</v>
      </c>
      <c r="H28" s="4">
        <v>319136</v>
      </c>
      <c r="I28" s="7">
        <f t="shared" si="3"/>
        <v>1969.9753086419753</v>
      </c>
      <c r="J28" s="7">
        <f>I28*G28</f>
        <v>7879.9012345679012</v>
      </c>
      <c r="K28" s="8">
        <v>59</v>
      </c>
      <c r="L28" s="3">
        <f>K28/E5</f>
        <v>8.5190941055232745E-6</v>
      </c>
      <c r="M28" s="8">
        <f>ROUNDDOWN(L28*E6,0)</f>
        <v>1</v>
      </c>
      <c r="N28" s="4">
        <v>137685</v>
      </c>
      <c r="O28" s="10">
        <f t="shared" si="1"/>
        <v>2333.6440677966102</v>
      </c>
      <c r="P28" s="7">
        <f>M28*O28</f>
        <v>2333.6440677966102</v>
      </c>
    </row>
    <row r="29" spans="2:16" s="2" customFormat="1" x14ac:dyDescent="0.3">
      <c r="B29" s="12" t="s">
        <v>70</v>
      </c>
      <c r="C29" t="s">
        <v>11</v>
      </c>
      <c r="D29" t="s">
        <v>22</v>
      </c>
      <c r="E29" s="1">
        <v>714</v>
      </c>
      <c r="F29" s="3">
        <f>E29/E5</f>
        <v>1.0309547781938336E-4</v>
      </c>
      <c r="G29">
        <f>ROUNDDOWN(F29*E6,0)</f>
        <v>18</v>
      </c>
      <c r="H29" s="4">
        <v>569494</v>
      </c>
      <c r="I29" s="7">
        <f t="shared" si="3"/>
        <v>797.61064425770303</v>
      </c>
      <c r="J29" s="7">
        <f t="shared" si="0"/>
        <v>14356.991596638654</v>
      </c>
      <c r="K29" s="8">
        <v>215</v>
      </c>
      <c r="L29" s="3">
        <f>K29/E5</f>
        <v>3.1044156486228885E-5</v>
      </c>
      <c r="M29" s="8">
        <f>ROUNDDOWN(L29*E6,0)</f>
        <v>5</v>
      </c>
      <c r="N29" s="4">
        <v>118928</v>
      </c>
      <c r="O29" s="10">
        <f t="shared" si="1"/>
        <v>553.15348837209308</v>
      </c>
      <c r="P29" s="7">
        <f t="shared" si="2"/>
        <v>2765.7674418604656</v>
      </c>
    </row>
    <row r="30" spans="2:16" s="2" customFormat="1" x14ac:dyDescent="0.3">
      <c r="B30" s="12" t="s">
        <v>70</v>
      </c>
      <c r="C30" t="s">
        <v>12</v>
      </c>
      <c r="D30" t="s">
        <v>22</v>
      </c>
      <c r="E30" s="1">
        <v>379</v>
      </c>
      <c r="F30" s="3">
        <f>E30/E5</f>
        <v>5.4724350271073241E-5</v>
      </c>
      <c r="G30">
        <f>ROUNDDOWN(F30*E6,0)</f>
        <v>9</v>
      </c>
      <c r="H30" s="4">
        <v>2921163</v>
      </c>
      <c r="I30" s="7">
        <f t="shared" si="3"/>
        <v>7707.5540897097626</v>
      </c>
      <c r="J30" s="7">
        <f t="shared" si="0"/>
        <v>69367.986807387861</v>
      </c>
      <c r="K30" s="8">
        <v>42</v>
      </c>
      <c r="L30" s="3">
        <f>K30/E5</f>
        <v>6.0644398717284333E-6</v>
      </c>
      <c r="M30" s="8">
        <f>ROUNDDOWN(L30*E6,0)</f>
        <v>1</v>
      </c>
      <c r="N30" s="4">
        <v>173343</v>
      </c>
      <c r="O30" s="10">
        <f t="shared" si="1"/>
        <v>4127.2142857142853</v>
      </c>
      <c r="P30" s="7">
        <f t="shared" si="2"/>
        <v>4127.2142857142853</v>
      </c>
    </row>
    <row r="31" spans="2:16" s="2" customFormat="1" x14ac:dyDescent="0.3">
      <c r="B31" s="12" t="s">
        <v>70</v>
      </c>
      <c r="C31" t="s">
        <v>13</v>
      </c>
      <c r="D31" t="s">
        <v>22</v>
      </c>
      <c r="E31" s="1">
        <v>34</v>
      </c>
      <c r="F31" s="3">
        <f>E31/E5</f>
        <v>4.9093084675896841E-6</v>
      </c>
      <c r="G31">
        <f>ROUNDDOWN(F31*E6,0)</f>
        <v>0</v>
      </c>
      <c r="H31" s="4">
        <v>24860</v>
      </c>
      <c r="I31" s="7">
        <f>H31/E31</f>
        <v>731.17647058823525</v>
      </c>
      <c r="J31" s="7">
        <f t="shared" si="0"/>
        <v>0</v>
      </c>
      <c r="K31" s="8">
        <v>0</v>
      </c>
      <c r="L31" s="3">
        <f>K31/E5</f>
        <v>0</v>
      </c>
      <c r="M31" s="8">
        <f>ROUNDDOWN(L31*E6,0)</f>
        <v>0</v>
      </c>
      <c r="N31" s="10">
        <v>0</v>
      </c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s="12" t="s">
        <v>70</v>
      </c>
      <c r="C32" t="s">
        <v>43</v>
      </c>
      <c r="D32" t="s">
        <v>22</v>
      </c>
      <c r="E32" s="1">
        <v>229</v>
      </c>
      <c r="F32" s="3">
        <f>E32/E5</f>
        <v>3.3065636443471698E-5</v>
      </c>
      <c r="G32">
        <f>ROUNDDOWN(F32*E6,0)</f>
        <v>6</v>
      </c>
      <c r="H32" s="4">
        <v>2382094</v>
      </c>
      <c r="I32" s="7">
        <f t="shared" si="3"/>
        <v>10402.157205240175</v>
      </c>
      <c r="J32" s="7">
        <f t="shared" si="0"/>
        <v>62412.943231441051</v>
      </c>
      <c r="K32" s="8">
        <v>67</v>
      </c>
      <c r="L32" s="3">
        <f>K32/E5</f>
        <v>9.6742255096620246E-6</v>
      </c>
      <c r="M32" s="8">
        <f>ROUNDDOWN(L32*E6,0)</f>
        <v>1</v>
      </c>
      <c r="N32" s="4">
        <v>464575</v>
      </c>
      <c r="O32" s="10">
        <f t="shared" si="1"/>
        <v>6933.9552238805973</v>
      </c>
      <c r="P32" s="7">
        <f t="shared" si="2"/>
        <v>6933.9552238805973</v>
      </c>
    </row>
    <row r="33" spans="2:16" s="2" customFormat="1" x14ac:dyDescent="0.3">
      <c r="B33" s="12" t="s">
        <v>70</v>
      </c>
      <c r="C33" t="s">
        <v>44</v>
      </c>
      <c r="D33" t="s">
        <v>22</v>
      </c>
      <c r="E33" s="1" t="s">
        <v>64</v>
      </c>
      <c r="F33" s="3" t="e">
        <f>E33/E5</f>
        <v>#VALUE!</v>
      </c>
      <c r="G33" t="e">
        <f>ROUNDDOWN(F33*E6,0)</f>
        <v>#VALUE!</v>
      </c>
      <c r="H33" s="4"/>
      <c r="I33" s="7" t="e">
        <f t="shared" si="3"/>
        <v>#VALUE!</v>
      </c>
      <c r="J33" s="7" t="e">
        <f t="shared" si="0"/>
        <v>#VALUE!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70</v>
      </c>
      <c r="C34" t="s">
        <v>14</v>
      </c>
      <c r="D34" t="s">
        <v>22</v>
      </c>
      <c r="E34" s="1">
        <v>366</v>
      </c>
      <c r="F34" s="3">
        <f>E34/E5</f>
        <v>5.2847261739347776E-5</v>
      </c>
      <c r="G34">
        <f>ROUNDDOWN(F34*E6,0)</f>
        <v>9</v>
      </c>
      <c r="H34" s="4">
        <v>3299698</v>
      </c>
      <c r="I34" s="7">
        <f t="shared" si="3"/>
        <v>9015.5683060109295</v>
      </c>
      <c r="J34" s="7">
        <f t="shared" si="0"/>
        <v>81140.114754098366</v>
      </c>
      <c r="K34" s="8">
        <v>72</v>
      </c>
      <c r="L34" s="3">
        <f>K34/E5</f>
        <v>1.0396182637248742E-5</v>
      </c>
      <c r="M34" s="8">
        <f>ROUNDDOWN(L34*E6,0)</f>
        <v>1</v>
      </c>
      <c r="N34" s="4">
        <v>233490</v>
      </c>
      <c r="O34" s="10">
        <f t="shared" si="1"/>
        <v>3242.9166666666665</v>
      </c>
      <c r="P34" s="7">
        <f t="shared" si="2"/>
        <v>3242.9166666666665</v>
      </c>
    </row>
    <row r="35" spans="2:16" s="2" customFormat="1" x14ac:dyDescent="0.3">
      <c r="B35" s="12" t="s">
        <v>70</v>
      </c>
      <c r="C35" t="s">
        <v>45</v>
      </c>
      <c r="D35" t="s">
        <v>22</v>
      </c>
      <c r="E35" s="1">
        <v>281</v>
      </c>
      <c r="F35" s="3">
        <f>E35/E5</f>
        <v>4.0573990570373563E-5</v>
      </c>
      <c r="G35">
        <f>ROUNDDOWN(F35*E6,0)</f>
        <v>7</v>
      </c>
      <c r="H35" s="4">
        <v>1500271</v>
      </c>
      <c r="I35" s="7">
        <f t="shared" si="3"/>
        <v>5339.0427046263349</v>
      </c>
      <c r="J35" s="7">
        <f t="shared" si="0"/>
        <v>37373.298932384343</v>
      </c>
      <c r="K35" s="8">
        <v>47</v>
      </c>
      <c r="L35" s="3">
        <f>K35/E5</f>
        <v>6.7863969993151511E-6</v>
      </c>
      <c r="M35" s="8">
        <f>ROUNDDOWN(L35*E6,0)</f>
        <v>1</v>
      </c>
      <c r="N35" s="4">
        <v>151959</v>
      </c>
      <c r="O35" s="10">
        <f t="shared" si="1"/>
        <v>3233.1702127659573</v>
      </c>
      <c r="P35" s="7">
        <f t="shared" si="2"/>
        <v>3233.1702127659573</v>
      </c>
    </row>
    <row r="36" spans="2:16" s="2" customFormat="1" x14ac:dyDescent="0.3">
      <c r="B36" s="12" t="s">
        <v>70</v>
      </c>
      <c r="C36" t="s">
        <v>15</v>
      </c>
      <c r="D36" t="s">
        <v>22</v>
      </c>
      <c r="E36" s="1">
        <v>267</v>
      </c>
      <c r="F36" s="3">
        <f>E36/E5</f>
        <v>3.8552510613130757E-5</v>
      </c>
      <c r="G36">
        <f>ROUNDDOWN(F36*E6,0)</f>
        <v>6</v>
      </c>
      <c r="H36" s="4">
        <v>38329</v>
      </c>
      <c r="I36" s="7">
        <f t="shared" si="3"/>
        <v>143.55430711610487</v>
      </c>
      <c r="J36" s="7">
        <f t="shared" si="0"/>
        <v>861.32584269662925</v>
      </c>
      <c r="K36" s="8">
        <v>109</v>
      </c>
      <c r="L36" s="3">
        <f>K36/E5</f>
        <v>1.5738665381390459E-5</v>
      </c>
      <c r="M36" s="8">
        <f>ROUNDDOWN(L36*E6,0)</f>
        <v>2</v>
      </c>
      <c r="N36" s="6">
        <v>1426</v>
      </c>
      <c r="O36" s="10">
        <f t="shared" si="1"/>
        <v>13.082568807339449</v>
      </c>
      <c r="P36" s="7">
        <f t="shared" si="2"/>
        <v>26.165137614678898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8612</v>
      </c>
      <c r="G38" t="e">
        <f>SUM(G8:G36)</f>
        <v>#VALUE!</v>
      </c>
      <c r="I38" s="7">
        <f t="shared" si="3"/>
        <v>0</v>
      </c>
      <c r="J38" s="7" t="e">
        <f t="shared" si="0"/>
        <v>#VALUE!</v>
      </c>
      <c r="L38" s="3"/>
      <c r="M38" s="3"/>
      <c r="N38" s="10"/>
      <c r="O38" s="10"/>
    </row>
    <row r="39" spans="2:16" x14ac:dyDescent="0.3">
      <c r="C39" t="s">
        <v>73</v>
      </c>
    </row>
    <row r="40" spans="2:16" x14ac:dyDescent="0.3">
      <c r="C40" t="s">
        <v>74</v>
      </c>
    </row>
    <row r="41" spans="2:16" x14ac:dyDescent="0.3">
      <c r="O41" t="s">
        <v>75</v>
      </c>
    </row>
    <row r="42" spans="2:16" x14ac:dyDescent="0.3">
      <c r="O42" t="s">
        <v>76</v>
      </c>
    </row>
    <row r="43" spans="2:16" x14ac:dyDescent="0.3">
      <c r="O43" t="s">
        <v>77</v>
      </c>
    </row>
  </sheetData>
  <phoneticPr fontId="1" type="noConversion"/>
  <hyperlinks>
    <hyperlink ref="B5" r:id="rId1" xr:uid="{BFA19B1A-AC96-4133-9BF9-E03E97A239D2}"/>
    <hyperlink ref="B6" r:id="rId2" xr:uid="{58A3DCA4-C320-49A8-9D1B-6A30532662B5}"/>
    <hyperlink ref="B7" r:id="rId3" location="?s=47" xr:uid="{4519EBA5-D36C-4825-BADB-C7638FCF30F4}"/>
    <hyperlink ref="B8:B36" r:id="rId4" location="?s=47" display="https://www.ic3.gov/Media/PDF/AnnualReport/2020State/StateReport.aspx#?s=47" xr:uid="{916AA1E9-B3E8-4B11-B281-C6775A633DDF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FFF0-5AD9-40C7-9DBA-8EC0E1531713}">
  <dimension ref="B4:P42"/>
  <sheetViews>
    <sheetView topLeftCell="A7" workbookViewId="0">
      <selection activeCell="I29" sqref="I29"/>
    </sheetView>
  </sheetViews>
  <sheetFormatPr defaultRowHeight="14.4" x14ac:dyDescent="0.3"/>
  <cols>
    <col min="2" max="2" width="70.109375" customWidth="1"/>
    <col min="3" max="3" width="27.5546875" customWidth="1"/>
    <col min="4" max="4" width="17.6640625" hidden="1" customWidth="1"/>
    <col min="5" max="5" width="8.88671875" hidden="1" customWidth="1"/>
    <col min="6" max="6" width="24.6640625" hidden="1" customWidth="1"/>
    <col min="7" max="7" width="48.88671875" hidden="1" customWidth="1"/>
    <col min="8" max="8" width="41.88671875" style="5" hidden="1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s="12" t="s">
        <v>61</v>
      </c>
      <c r="C5" t="s">
        <v>56</v>
      </c>
      <c r="D5" t="s">
        <v>8</v>
      </c>
      <c r="E5" s="1">
        <v>6968351</v>
      </c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s="14" t="s">
        <v>60</v>
      </c>
      <c r="C6" t="s">
        <v>57</v>
      </c>
      <c r="D6" t="s">
        <v>8</v>
      </c>
      <c r="E6" s="13">
        <v>181163</v>
      </c>
      <c r="F6"/>
      <c r="G6"/>
      <c r="H6" s="5"/>
      <c r="I6" s="7"/>
      <c r="K6" s="8"/>
      <c r="L6" s="8"/>
      <c r="M6" s="8"/>
    </row>
    <row r="7" spans="2:16" s="2" customFormat="1" x14ac:dyDescent="0.3">
      <c r="B7" t="s">
        <v>69</v>
      </c>
      <c r="C7" t="s">
        <v>26</v>
      </c>
      <c r="D7" t="s">
        <v>22</v>
      </c>
      <c r="E7" s="1">
        <v>172</v>
      </c>
      <c r="F7" s="3">
        <f>E7/E5</f>
        <v>2.4683027591463173E-5</v>
      </c>
      <c r="G7">
        <f>ROUNDDOWN(F7*E6,0)</f>
        <v>4</v>
      </c>
      <c r="H7" s="4">
        <v>2943621</v>
      </c>
      <c r="I7" s="7">
        <f>H7/E7</f>
        <v>17114.075581395347</v>
      </c>
      <c r="J7" s="7">
        <f>I7*G7</f>
        <v>68456.30232558139</v>
      </c>
      <c r="K7" s="8">
        <v>52</v>
      </c>
      <c r="L7" s="3">
        <f>K7/E5</f>
        <v>7.4623106671865407E-6</v>
      </c>
      <c r="M7" s="8">
        <f>ROUNDDOWN(L7*E6,0)</f>
        <v>1</v>
      </c>
      <c r="N7" s="10">
        <v>98602</v>
      </c>
      <c r="O7" s="10">
        <f>N7/K7</f>
        <v>1896.1923076923076</v>
      </c>
      <c r="P7" s="7">
        <f>M7*O7</f>
        <v>1896.1923076923076</v>
      </c>
    </row>
    <row r="8" spans="2:16" s="2" customFormat="1" x14ac:dyDescent="0.3">
      <c r="B8" t="s">
        <v>69</v>
      </c>
      <c r="C8" t="s">
        <v>24</v>
      </c>
      <c r="D8" t="s">
        <v>22</v>
      </c>
      <c r="E8" s="1">
        <v>321</v>
      </c>
      <c r="F8" s="3">
        <f>E8/E5</f>
        <v>4.6065417772439995E-5</v>
      </c>
      <c r="G8">
        <f>ROUNDDOWN(F8*E6,0)</f>
        <v>8</v>
      </c>
      <c r="H8" s="4">
        <v>38847655</v>
      </c>
      <c r="I8" s="7">
        <f>H8/E8</f>
        <v>121020.73208722741</v>
      </c>
      <c r="J8" s="7">
        <f t="shared" ref="J8:J38" si="0">I8*G8</f>
        <v>968165.85669781931</v>
      </c>
      <c r="K8" s="8">
        <v>52</v>
      </c>
      <c r="L8" s="3">
        <f>K8/E5</f>
        <v>7.4623106671865407E-6</v>
      </c>
      <c r="M8" s="8">
        <f>ROUNDDOWN(L8*E6,0)</f>
        <v>1</v>
      </c>
      <c r="N8" s="10">
        <v>5165687</v>
      </c>
      <c r="O8" s="10">
        <f t="shared" ref="O8:O36" si="1">N8/K8</f>
        <v>99340.13461538461</v>
      </c>
      <c r="P8" s="7">
        <f t="shared" ref="P8:P36" si="2">M8*O8</f>
        <v>99340.13461538461</v>
      </c>
    </row>
    <row r="9" spans="2:16" s="2" customFormat="1" x14ac:dyDescent="0.3">
      <c r="B9" t="s">
        <v>69</v>
      </c>
      <c r="C9" t="s">
        <v>27</v>
      </c>
      <c r="D9" t="s">
        <v>22</v>
      </c>
      <c r="E9" s="1" t="s">
        <v>64</v>
      </c>
      <c r="F9" s="3" t="e">
        <f>E9/E5</f>
        <v>#VALUE!</v>
      </c>
      <c r="G9" t="e">
        <f>ROUNDDOWN(F9*E6,0)</f>
        <v>#VALUE!</v>
      </c>
      <c r="H9" s="1" t="s">
        <v>64</v>
      </c>
      <c r="I9" s="7" t="e">
        <f t="shared" ref="I9:I38" si="3">H9/E9</f>
        <v>#VALUE!</v>
      </c>
      <c r="J9" s="7" t="e">
        <f t="shared" si="0"/>
        <v>#VALUE!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69</v>
      </c>
      <c r="C10" t="s">
        <v>28</v>
      </c>
      <c r="D10" t="s">
        <v>22</v>
      </c>
      <c r="E10" s="1">
        <v>366</v>
      </c>
      <c r="F10" s="3">
        <f>E10/E5</f>
        <v>5.252318661904373E-5</v>
      </c>
      <c r="G10">
        <f>ROUNDDOWN(F10*E6,0)</f>
        <v>9</v>
      </c>
      <c r="H10" s="4">
        <v>14569398</v>
      </c>
      <c r="I10" s="7">
        <f t="shared" si="3"/>
        <v>39807.098360655735</v>
      </c>
      <c r="J10" s="7">
        <f t="shared" si="0"/>
        <v>358263.88524590159</v>
      </c>
      <c r="K10" s="8">
        <v>162</v>
      </c>
      <c r="L10" s="3">
        <f>K10/E5</f>
        <v>2.3247967847773455E-5</v>
      </c>
      <c r="M10" s="8">
        <f>ROUNDDOWN(L10*E6,0)</f>
        <v>4</v>
      </c>
      <c r="N10" s="10">
        <v>5152816</v>
      </c>
      <c r="O10" s="10">
        <f t="shared" si="1"/>
        <v>31807.506172839505</v>
      </c>
      <c r="P10" s="7">
        <f t="shared" si="2"/>
        <v>127230.02469135802</v>
      </c>
    </row>
    <row r="11" spans="2:16" s="2" customFormat="1" x14ac:dyDescent="0.3">
      <c r="B11" t="s">
        <v>69</v>
      </c>
      <c r="C11" t="s">
        <v>29</v>
      </c>
      <c r="D11" t="s">
        <v>22</v>
      </c>
      <c r="E11" s="1" t="s">
        <v>64</v>
      </c>
      <c r="F11" s="3" t="e">
        <f>E11/E5</f>
        <v>#VALUE!</v>
      </c>
      <c r="G11" t="e">
        <f>ROUNDDOWN(F11*E6,0)</f>
        <v>#VALUE!</v>
      </c>
      <c r="H11" s="1" t="s">
        <v>64</v>
      </c>
      <c r="I11" s="7" t="e">
        <f t="shared" si="3"/>
        <v>#VALUE!</v>
      </c>
      <c r="J11" s="7" t="e">
        <f t="shared" si="0"/>
        <v>#VALUE!</v>
      </c>
      <c r="K11" s="8"/>
      <c r="L11" s="3">
        <f>K11/E5</f>
        <v>0</v>
      </c>
      <c r="M11" s="8">
        <f>ROUNDDOWN(L11*E6,0)</f>
        <v>0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69</v>
      </c>
      <c r="C12" t="s">
        <v>5</v>
      </c>
      <c r="D12" t="s">
        <v>22</v>
      </c>
      <c r="E12" s="1">
        <v>29</v>
      </c>
      <c r="F12" s="3">
        <f>E12/E5</f>
        <v>4.1616732567001861E-6</v>
      </c>
      <c r="G12">
        <f>ROUNDDOWN(F12*E6,0)</f>
        <v>0</v>
      </c>
      <c r="H12" s="5">
        <v>0</v>
      </c>
      <c r="I12" s="7">
        <f t="shared" si="3"/>
        <v>0</v>
      </c>
      <c r="J12" s="7">
        <f t="shared" si="0"/>
        <v>0</v>
      </c>
      <c r="K12" s="8">
        <v>12</v>
      </c>
      <c r="L12" s="3">
        <f>K12/E5</f>
        <v>1.7220716924276633E-6</v>
      </c>
      <c r="M12" s="8">
        <f>ROUNDDOWN(L12*E6,0)</f>
        <v>0</v>
      </c>
      <c r="N12" s="4">
        <v>34078</v>
      </c>
      <c r="O12" s="10">
        <f t="shared" si="1"/>
        <v>2839.8333333333335</v>
      </c>
      <c r="P12" s="7">
        <f t="shared" si="2"/>
        <v>0</v>
      </c>
    </row>
    <row r="13" spans="2:16" s="2" customFormat="1" x14ac:dyDescent="0.3">
      <c r="B13" t="s">
        <v>69</v>
      </c>
      <c r="C13" t="s">
        <v>6</v>
      </c>
      <c r="D13" t="s">
        <v>22</v>
      </c>
      <c r="E13" s="1">
        <v>21</v>
      </c>
      <c r="F13" s="3">
        <f>E13/E5</f>
        <v>3.013625461748411E-6</v>
      </c>
      <c r="G13">
        <f>ROUNDDOWN(F13*E6,0)</f>
        <v>0</v>
      </c>
      <c r="H13" s="4">
        <v>609113</v>
      </c>
      <c r="I13" s="7">
        <f t="shared" si="3"/>
        <v>29005.380952380954</v>
      </c>
      <c r="J13" s="7">
        <f t="shared" si="0"/>
        <v>0</v>
      </c>
      <c r="K13" s="8">
        <v>7</v>
      </c>
      <c r="L13" s="3">
        <f>K13/E5</f>
        <v>1.0045418205828035E-6</v>
      </c>
      <c r="M13" s="8">
        <f>ROUNDDOWN(L13*E6,0)</f>
        <v>0</v>
      </c>
      <c r="N13" s="4">
        <v>540618</v>
      </c>
      <c r="O13" s="10">
        <f t="shared" si="1"/>
        <v>77231.142857142855</v>
      </c>
      <c r="P13" s="7">
        <f t="shared" si="2"/>
        <v>0</v>
      </c>
    </row>
    <row r="14" spans="2:16" s="2" customFormat="1" x14ac:dyDescent="0.3">
      <c r="B14" t="s">
        <v>69</v>
      </c>
      <c r="C14" t="s">
        <v>30</v>
      </c>
      <c r="D14" t="s">
        <v>22</v>
      </c>
      <c r="E14" s="1">
        <v>230</v>
      </c>
      <c r="F14" s="3">
        <f>E14/E5</f>
        <v>3.3006374104863545E-5</v>
      </c>
      <c r="G14">
        <f>ROUNDDOWN(F14*E6,0)</f>
        <v>5</v>
      </c>
      <c r="H14" s="4">
        <v>2996197</v>
      </c>
      <c r="I14" s="7">
        <f t="shared" si="3"/>
        <v>13026.94347826087</v>
      </c>
      <c r="J14" s="7">
        <f t="shared" si="0"/>
        <v>65134.717391304352</v>
      </c>
      <c r="K14" s="8">
        <v>96</v>
      </c>
      <c r="L14" s="3">
        <f>K14/E5</f>
        <v>1.3776573539421307E-5</v>
      </c>
      <c r="M14" s="8">
        <f>ROUNDDOWN(L14*E6,0)</f>
        <v>2</v>
      </c>
      <c r="N14" s="4">
        <v>1679416</v>
      </c>
      <c r="O14" s="10">
        <f t="shared" si="1"/>
        <v>17493.916666666668</v>
      </c>
      <c r="P14" s="7">
        <f t="shared" si="2"/>
        <v>34987.833333333336</v>
      </c>
    </row>
    <row r="15" spans="2:16" s="2" customFormat="1" x14ac:dyDescent="0.3">
      <c r="B15" t="s">
        <v>69</v>
      </c>
      <c r="C15" t="s">
        <v>9</v>
      </c>
      <c r="D15" t="s">
        <v>22</v>
      </c>
      <c r="E15" s="1">
        <v>628</v>
      </c>
      <c r="F15" s="3">
        <f>E15/E5</f>
        <v>9.0121751903714381E-5</v>
      </c>
      <c r="G15">
        <f>ROUNDDOWN(F15*E6,0)</f>
        <v>16</v>
      </c>
      <c r="H15" s="4">
        <v>362852</v>
      </c>
      <c r="I15" s="7">
        <f t="shared" si="3"/>
        <v>577.78980891719743</v>
      </c>
      <c r="J15" s="7">
        <f t="shared" si="0"/>
        <v>9244.6369426751589</v>
      </c>
      <c r="K15" s="8">
        <v>77</v>
      </c>
      <c r="L15" s="3">
        <f>K15/E5</f>
        <v>1.1049960026410839E-5</v>
      </c>
      <c r="M15" s="8">
        <f>ROUNDDOWN(L15*E6,0)</f>
        <v>2</v>
      </c>
      <c r="N15" s="4">
        <v>48710</v>
      </c>
      <c r="O15" s="10">
        <f t="shared" si="1"/>
        <v>632.59740259740261</v>
      </c>
      <c r="P15" s="7">
        <f t="shared" si="2"/>
        <v>1265.1948051948052</v>
      </c>
    </row>
    <row r="16" spans="2:16" s="2" customFormat="1" x14ac:dyDescent="0.3">
      <c r="B16" t="s">
        <v>69</v>
      </c>
      <c r="C16" t="s">
        <v>31</v>
      </c>
      <c r="D16" t="s">
        <v>22</v>
      </c>
      <c r="E16" s="1">
        <v>220</v>
      </c>
      <c r="F16" s="3">
        <f>E16/E5</f>
        <v>3.1571314361173824E-5</v>
      </c>
      <c r="G16">
        <f>ROUNDDOWN(F16*E6,0)</f>
        <v>5</v>
      </c>
      <c r="H16" s="4">
        <v>1053487</v>
      </c>
      <c r="I16" s="7">
        <f t="shared" si="3"/>
        <v>4788.5772727272724</v>
      </c>
      <c r="J16" s="7">
        <f t="shared" si="0"/>
        <v>23942.88636363636</v>
      </c>
      <c r="K16" s="8">
        <v>23</v>
      </c>
      <c r="L16" s="3">
        <f>K16/E5</f>
        <v>3.3006374104863546E-6</v>
      </c>
      <c r="M16" s="8">
        <f>ROUNDDOWN(L16*E6,0)</f>
        <v>0</v>
      </c>
      <c r="N16" s="4">
        <v>125849</v>
      </c>
      <c r="O16" s="10">
        <f t="shared" si="1"/>
        <v>5471.695652173913</v>
      </c>
      <c r="P16" s="7">
        <f t="shared" si="2"/>
        <v>0</v>
      </c>
    </row>
    <row r="17" spans="2:16" s="2" customFormat="1" x14ac:dyDescent="0.3">
      <c r="B17" t="s">
        <v>69</v>
      </c>
      <c r="C17" t="s">
        <v>32</v>
      </c>
      <c r="D17" t="s">
        <v>22</v>
      </c>
      <c r="E17" s="1" t="s">
        <v>64</v>
      </c>
      <c r="F17" s="3" t="e">
        <f>E17/E5</f>
        <v>#VALUE!</v>
      </c>
      <c r="G17" t="e">
        <f>ROUNDDOWN(F17*E6,0)</f>
        <v>#VALUE!</v>
      </c>
      <c r="H17" s="1" t="s">
        <v>64</v>
      </c>
      <c r="I17" s="7" t="e">
        <f t="shared" si="3"/>
        <v>#VALUE!</v>
      </c>
      <c r="J17" s="7" t="e">
        <f t="shared" si="0"/>
        <v>#VALUE!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69</v>
      </c>
      <c r="C18" t="s">
        <v>33</v>
      </c>
      <c r="D18" t="s">
        <v>22</v>
      </c>
      <c r="E18" s="1">
        <v>60</v>
      </c>
      <c r="F18" s="3">
        <f>E18/E5</f>
        <v>8.6103584621383163E-6</v>
      </c>
      <c r="G18">
        <f>ROUNDDOWN(F18*E6,0)</f>
        <v>1</v>
      </c>
      <c r="H18" s="4">
        <v>248288</v>
      </c>
      <c r="I18" s="7">
        <f t="shared" si="3"/>
        <v>4138.1333333333332</v>
      </c>
      <c r="J18" s="7">
        <f t="shared" si="0"/>
        <v>4138.1333333333332</v>
      </c>
      <c r="K18" s="8">
        <v>19</v>
      </c>
      <c r="L18" s="3">
        <f>K18/E5</f>
        <v>2.7266135130104669E-6</v>
      </c>
      <c r="M18" s="8">
        <f>ROUNDDOWN(L18*E6,0)</f>
        <v>0</v>
      </c>
      <c r="N18" s="4">
        <v>11863</v>
      </c>
      <c r="O18" s="10">
        <f t="shared" si="1"/>
        <v>624.36842105263156</v>
      </c>
      <c r="P18" s="7">
        <f t="shared" si="2"/>
        <v>0</v>
      </c>
    </row>
    <row r="19" spans="2:16" s="2" customFormat="1" x14ac:dyDescent="0.3">
      <c r="B19" t="s">
        <v>69</v>
      </c>
      <c r="C19" t="s">
        <v>34</v>
      </c>
      <c r="D19" t="s">
        <v>22</v>
      </c>
      <c r="E19" s="1">
        <v>529</v>
      </c>
      <c r="F19" s="3">
        <f>E19/E5</f>
        <v>7.5914660441186161E-5</v>
      </c>
      <c r="G19">
        <f>ROUNDDOWN(F19*E6,0)</f>
        <v>13</v>
      </c>
      <c r="H19" s="4">
        <v>2898060</v>
      </c>
      <c r="I19" s="7">
        <f t="shared" si="3"/>
        <v>5478.3742911153122</v>
      </c>
      <c r="J19" s="7">
        <f t="shared" si="0"/>
        <v>71218.865784499052</v>
      </c>
      <c r="K19" s="8">
        <v>135</v>
      </c>
      <c r="L19" s="3">
        <f>K19/E5</f>
        <v>1.9373306539811213E-5</v>
      </c>
      <c r="M19" s="8">
        <f>ROUNDDOWN(L19*E6,0)</f>
        <v>3</v>
      </c>
      <c r="N19" s="4">
        <v>942507</v>
      </c>
      <c r="O19" s="10">
        <f t="shared" si="1"/>
        <v>6981.5333333333338</v>
      </c>
      <c r="P19" s="7">
        <f t="shared" si="2"/>
        <v>20944.600000000002</v>
      </c>
    </row>
    <row r="20" spans="2:16" s="2" customFormat="1" x14ac:dyDescent="0.3">
      <c r="B20" t="s">
        <v>69</v>
      </c>
      <c r="C20" t="s">
        <v>35</v>
      </c>
      <c r="D20" t="s">
        <v>22</v>
      </c>
      <c r="E20" s="1">
        <v>162</v>
      </c>
      <c r="F20" s="3">
        <f>E20/E5</f>
        <v>2.3247967847773455E-5</v>
      </c>
      <c r="G20">
        <f>ROUNDDOWN(F20*E6,0)</f>
        <v>4</v>
      </c>
      <c r="H20" s="4">
        <v>7966687</v>
      </c>
      <c r="I20" s="7">
        <f t="shared" si="3"/>
        <v>49177.080246913582</v>
      </c>
      <c r="J20" s="7">
        <f t="shared" si="0"/>
        <v>196708.32098765433</v>
      </c>
      <c r="K20" s="8">
        <v>43</v>
      </c>
      <c r="L20" s="3">
        <f>K20/E5</f>
        <v>6.1707568978657931E-6</v>
      </c>
      <c r="M20" s="8">
        <f>ROUNDDOWN(L20*E6,0)</f>
        <v>1</v>
      </c>
      <c r="N20" s="4">
        <v>808506</v>
      </c>
      <c r="O20" s="10">
        <f t="shared" si="1"/>
        <v>18802.465116279069</v>
      </c>
      <c r="P20" s="7">
        <f t="shared" si="2"/>
        <v>18802.465116279069</v>
      </c>
    </row>
    <row r="21" spans="2:16" s="2" customFormat="1" x14ac:dyDescent="0.3">
      <c r="B21" t="s">
        <v>69</v>
      </c>
      <c r="C21" t="s">
        <v>36</v>
      </c>
      <c r="D21" t="s">
        <v>22</v>
      </c>
      <c r="E21" s="1">
        <v>90</v>
      </c>
      <c r="F21" s="3">
        <f>E21/E5</f>
        <v>1.2915537693207474E-5</v>
      </c>
      <c r="G21">
        <f>ROUNDDOWN(F21*E6,0)</f>
        <v>2</v>
      </c>
      <c r="H21" s="4">
        <v>1157782</v>
      </c>
      <c r="I21" s="7">
        <f t="shared" si="3"/>
        <v>12864.244444444445</v>
      </c>
      <c r="J21" s="7">
        <f t="shared" si="0"/>
        <v>25728.488888888889</v>
      </c>
      <c r="K21" s="8">
        <v>18</v>
      </c>
      <c r="L21" s="3">
        <f>K21/E5</f>
        <v>2.5831075386414948E-6</v>
      </c>
      <c r="M21" s="8">
        <f>ROUNDDOWN(L21*E6,0)</f>
        <v>0</v>
      </c>
      <c r="N21" s="4">
        <v>743890</v>
      </c>
      <c r="O21" s="10">
        <f t="shared" si="1"/>
        <v>41327.222222222219</v>
      </c>
      <c r="P21" s="7">
        <f t="shared" si="2"/>
        <v>0</v>
      </c>
    </row>
    <row r="22" spans="2:16" s="2" customFormat="1" x14ac:dyDescent="0.3">
      <c r="B22" t="s">
        <v>69</v>
      </c>
      <c r="C22" t="s">
        <v>10</v>
      </c>
      <c r="D22" t="s">
        <v>22</v>
      </c>
      <c r="E22" s="1">
        <v>11</v>
      </c>
      <c r="F22" s="3">
        <f>E22/E5</f>
        <v>1.5785657180586913E-6</v>
      </c>
      <c r="G22">
        <f>ROUNDDOWN(F22*E6,0)</f>
        <v>0</v>
      </c>
      <c r="H22" s="4">
        <v>8000</v>
      </c>
      <c r="I22" s="7">
        <f t="shared" si="3"/>
        <v>727.27272727272725</v>
      </c>
      <c r="J22" s="7">
        <f t="shared" si="0"/>
        <v>0</v>
      </c>
      <c r="K22" s="8">
        <v>9</v>
      </c>
      <c r="L22" s="3">
        <f>K22/E5</f>
        <v>1.2915537693207474E-6</v>
      </c>
      <c r="M22" s="8">
        <f>ROUNDDOWN(L22*E6,0)</f>
        <v>0</v>
      </c>
      <c r="N22" s="10">
        <v>0</v>
      </c>
      <c r="O22" s="10">
        <f t="shared" si="1"/>
        <v>0</v>
      </c>
      <c r="P22" s="7">
        <f t="shared" si="2"/>
        <v>0</v>
      </c>
    </row>
    <row r="23" spans="2:16" s="2" customFormat="1" x14ac:dyDescent="0.3">
      <c r="B23" t="s">
        <v>69</v>
      </c>
      <c r="C23" t="s">
        <v>37</v>
      </c>
      <c r="D23" t="s">
        <v>22</v>
      </c>
      <c r="E23" s="1" t="s">
        <v>64</v>
      </c>
      <c r="F23" s="3" t="e">
        <f>E23/E5</f>
        <v>#VALUE!</v>
      </c>
      <c r="G23" t="e">
        <f>ROUNDDOWN(F23*E6,0)</f>
        <v>#VALUE!</v>
      </c>
      <c r="H23" s="1" t="s">
        <v>64</v>
      </c>
      <c r="I23" s="7" t="e">
        <f t="shared" si="3"/>
        <v>#VALUE!</v>
      </c>
      <c r="J23" s="7" t="e">
        <f t="shared" si="0"/>
        <v>#VALUE!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69</v>
      </c>
      <c r="C24" t="s">
        <v>38</v>
      </c>
      <c r="D24" t="s">
        <v>22</v>
      </c>
      <c r="E24" s="1" t="s">
        <v>64</v>
      </c>
      <c r="F24" s="3" t="e">
        <f>E24/E5</f>
        <v>#VALUE!</v>
      </c>
      <c r="G24" t="e">
        <f>ROUNDDOWN(F24*E6,0)</f>
        <v>#VALUE!</v>
      </c>
      <c r="H24" s="1" t="s">
        <v>64</v>
      </c>
      <c r="I24" s="7" t="e">
        <f t="shared" si="3"/>
        <v>#VALUE!</v>
      </c>
      <c r="J24" s="7" t="e">
        <f t="shared" si="0"/>
        <v>#VALUE!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69</v>
      </c>
      <c r="C25" t="s">
        <v>39</v>
      </c>
      <c r="D25" t="s">
        <v>22</v>
      </c>
      <c r="E25" s="1">
        <v>600</v>
      </c>
      <c r="F25" s="3">
        <f>E25/E5</f>
        <v>8.6103584621383163E-5</v>
      </c>
      <c r="G25">
        <f>ROUNDDOWN(F25*E6,0)</f>
        <v>15</v>
      </c>
      <c r="H25" s="4"/>
      <c r="I25" s="7">
        <f t="shared" si="3"/>
        <v>0</v>
      </c>
      <c r="J25" s="7">
        <f t="shared" si="0"/>
        <v>0</v>
      </c>
      <c r="K25" s="8">
        <v>471</v>
      </c>
      <c r="L25" s="3">
        <f>K25/E5</f>
        <v>6.7591313927785782E-5</v>
      </c>
      <c r="M25" s="8">
        <f>ROUNDDOWN(L25*E6,0)</f>
        <v>12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t="s">
        <v>69</v>
      </c>
      <c r="C26" t="s">
        <v>40</v>
      </c>
      <c r="D26" t="s">
        <v>22</v>
      </c>
      <c r="E26" s="1">
        <v>1429</v>
      </c>
      <c r="F26" s="3">
        <f>E26/E5</f>
        <v>2.0507003737326091E-4</v>
      </c>
      <c r="G26">
        <f>ROUNDDOWN(F26*E6,0)</f>
        <v>37</v>
      </c>
      <c r="H26" s="4">
        <v>3094120</v>
      </c>
      <c r="I26" s="7">
        <f t="shared" si="3"/>
        <v>2165.2344296710985</v>
      </c>
      <c r="J26" s="7">
        <f t="shared" si="0"/>
        <v>80113.673897830638</v>
      </c>
      <c r="K26" s="8">
        <v>479</v>
      </c>
      <c r="L26" s="3">
        <f>K26/E5</f>
        <v>6.8739361722737558E-5</v>
      </c>
      <c r="M26" s="8">
        <f>ROUNDDOWN(L26*E6,0)</f>
        <v>12</v>
      </c>
      <c r="N26" s="4">
        <v>1503558</v>
      </c>
      <c r="O26" s="10">
        <f t="shared" si="1"/>
        <v>3138.9519832985388</v>
      </c>
      <c r="P26" s="7">
        <f t="shared" si="2"/>
        <v>37667.423799582466</v>
      </c>
    </row>
    <row r="27" spans="2:16" s="2" customFormat="1" x14ac:dyDescent="0.3">
      <c r="B27" t="s">
        <v>69</v>
      </c>
      <c r="C27" t="s">
        <v>41</v>
      </c>
      <c r="D27" t="s">
        <v>22</v>
      </c>
      <c r="E27" s="1">
        <v>148</v>
      </c>
      <c r="F27" s="3">
        <f>E27/E5</f>
        <v>2.1238884206607847E-5</v>
      </c>
      <c r="G27">
        <f>ROUNDDOWN(F27*E6,0)</f>
        <v>3</v>
      </c>
      <c r="H27" s="4">
        <v>1341046</v>
      </c>
      <c r="I27" s="7">
        <f t="shared" si="3"/>
        <v>9061.1216216216217</v>
      </c>
      <c r="J27" s="7">
        <f t="shared" si="0"/>
        <v>27183.364864864867</v>
      </c>
      <c r="K27" s="8">
        <v>66</v>
      </c>
      <c r="L27" s="3">
        <f>K27/E5</f>
        <v>9.4713943083521486E-6</v>
      </c>
      <c r="M27" s="8">
        <f>ROUNDDOWN(L27*E6,0)</f>
        <v>1</v>
      </c>
      <c r="N27" s="4">
        <v>100517</v>
      </c>
      <c r="O27" s="10">
        <f>N27/K27</f>
        <v>1522.9848484848485</v>
      </c>
      <c r="P27" s="7">
        <f t="shared" si="2"/>
        <v>1522.9848484848485</v>
      </c>
    </row>
    <row r="28" spans="2:16" s="2" customFormat="1" x14ac:dyDescent="0.3">
      <c r="B28" t="s">
        <v>69</v>
      </c>
      <c r="C28" t="s">
        <v>42</v>
      </c>
      <c r="D28" t="s">
        <v>22</v>
      </c>
      <c r="E28" s="1">
        <v>86</v>
      </c>
      <c r="F28" s="3">
        <f>E28/E5</f>
        <v>1.2341513795731586E-5</v>
      </c>
      <c r="G28">
        <f>ROUNDDOWN(F28*E6,0)</f>
        <v>2</v>
      </c>
      <c r="H28" s="4">
        <v>2402040</v>
      </c>
      <c r="I28" s="7">
        <f t="shared" si="3"/>
        <v>27930.697674418603</v>
      </c>
      <c r="J28" s="7">
        <f>I28*G28</f>
        <v>55861.395348837206</v>
      </c>
      <c r="K28" s="8">
        <v>57</v>
      </c>
      <c r="L28" s="3">
        <f>K28/E5</f>
        <v>8.1798405390314002E-6</v>
      </c>
      <c r="M28" s="8">
        <f>ROUNDDOWN(L28*E6,0)</f>
        <v>1</v>
      </c>
      <c r="N28" s="4">
        <v>1566851</v>
      </c>
      <c r="O28" s="10">
        <f t="shared" si="1"/>
        <v>27488.614035087718</v>
      </c>
      <c r="P28" s="7">
        <f>M28*O28</f>
        <v>27488.614035087718</v>
      </c>
    </row>
    <row r="29" spans="2:16" s="2" customFormat="1" x14ac:dyDescent="0.3">
      <c r="B29" t="s">
        <v>69</v>
      </c>
      <c r="C29" t="s">
        <v>11</v>
      </c>
      <c r="D29" t="s">
        <v>22</v>
      </c>
      <c r="E29" s="1">
        <v>742</v>
      </c>
      <c r="F29" s="3">
        <f>E29/E5</f>
        <v>1.0648143298177718E-4</v>
      </c>
      <c r="G29">
        <f>ROUNDDOWN(F29*E6,0)</f>
        <v>19</v>
      </c>
      <c r="H29" s="4">
        <v>8559707</v>
      </c>
      <c r="I29" s="7">
        <f t="shared" si="3"/>
        <v>11535.993261455525</v>
      </c>
      <c r="J29" s="7">
        <f t="shared" si="0"/>
        <v>219183.871967655</v>
      </c>
      <c r="K29" s="8">
        <v>302</v>
      </c>
      <c r="L29" s="3">
        <f>K29/E5</f>
        <v>4.3338804259429526E-5</v>
      </c>
      <c r="M29" s="8">
        <f>ROUNDDOWN(L29*E6,0)</f>
        <v>7</v>
      </c>
      <c r="N29" s="4">
        <v>698113</v>
      </c>
      <c r="O29" s="10">
        <f t="shared" si="1"/>
        <v>2311.6324503311257</v>
      </c>
      <c r="P29" s="7">
        <f t="shared" si="2"/>
        <v>16181.42715231788</v>
      </c>
    </row>
    <row r="30" spans="2:16" s="2" customFormat="1" x14ac:dyDescent="0.3">
      <c r="B30" t="s">
        <v>69</v>
      </c>
      <c r="C30" t="s">
        <v>12</v>
      </c>
      <c r="D30" t="s">
        <v>22</v>
      </c>
      <c r="E30" s="1">
        <v>438</v>
      </c>
      <c r="F30" s="3">
        <f>E30/E5</f>
        <v>6.2855616773609704E-5</v>
      </c>
      <c r="G30">
        <f>ROUNDDOWN(F30*E6,0)</f>
        <v>11</v>
      </c>
      <c r="H30" s="4">
        <v>671637</v>
      </c>
      <c r="I30" s="7">
        <f t="shared" si="3"/>
        <v>1533.4178082191781</v>
      </c>
      <c r="J30" s="7">
        <f t="shared" si="0"/>
        <v>16867.595890410961</v>
      </c>
      <c r="K30" s="8">
        <v>52</v>
      </c>
      <c r="L30" s="3">
        <f>K30/E5</f>
        <v>7.4623106671865407E-6</v>
      </c>
      <c r="M30" s="8">
        <f>ROUNDDOWN(L30*E6,0)</f>
        <v>1</v>
      </c>
      <c r="N30" s="4">
        <v>119371</v>
      </c>
      <c r="O30" s="10">
        <f t="shared" si="1"/>
        <v>2295.5961538461538</v>
      </c>
      <c r="P30" s="7">
        <f t="shared" si="2"/>
        <v>2295.5961538461538</v>
      </c>
    </row>
    <row r="31" spans="2:16" s="2" customFormat="1" x14ac:dyDescent="0.3">
      <c r="B31" t="s">
        <v>69</v>
      </c>
      <c r="C31" t="s">
        <v>13</v>
      </c>
      <c r="D31" t="s">
        <v>22</v>
      </c>
      <c r="E31" s="1">
        <v>47</v>
      </c>
      <c r="F31" s="3">
        <f>E31/E5</f>
        <v>6.7447807953416813E-6</v>
      </c>
      <c r="G31">
        <f>ROUNDDOWN(F31*E6,0)</f>
        <v>1</v>
      </c>
      <c r="H31" s="4">
        <v>206000</v>
      </c>
      <c r="I31" s="7">
        <f>H31/E31</f>
        <v>4382.9787234042551</v>
      </c>
      <c r="J31" s="7">
        <f t="shared" si="0"/>
        <v>4382.9787234042551</v>
      </c>
      <c r="K31" s="8">
        <v>1</v>
      </c>
      <c r="L31" s="3">
        <f>K31/E5</f>
        <v>1.4350597436897195E-7</v>
      </c>
      <c r="M31" s="8">
        <f>ROUNDDOWN(L31*E6,0)</f>
        <v>0</v>
      </c>
      <c r="N31" s="10">
        <v>0</v>
      </c>
      <c r="O31" s="10">
        <f t="shared" si="1"/>
        <v>0</v>
      </c>
      <c r="P31" s="7">
        <f t="shared" si="2"/>
        <v>0</v>
      </c>
    </row>
    <row r="32" spans="2:16" s="2" customFormat="1" x14ac:dyDescent="0.3">
      <c r="B32" t="s">
        <v>69</v>
      </c>
      <c r="C32" t="s">
        <v>43</v>
      </c>
      <c r="D32" t="s">
        <v>22</v>
      </c>
      <c r="E32" s="1">
        <v>173</v>
      </c>
      <c r="F32" s="3">
        <f>E32/E5</f>
        <v>2.4826533565832145E-5</v>
      </c>
      <c r="G32">
        <f>ROUNDDOWN(F32*E6,0)</f>
        <v>4</v>
      </c>
      <c r="H32" s="4">
        <v>3819229</v>
      </c>
      <c r="I32" s="7">
        <f t="shared" si="3"/>
        <v>22076.468208092487</v>
      </c>
      <c r="J32" s="7">
        <f t="shared" si="0"/>
        <v>88305.872832369947</v>
      </c>
      <c r="K32" s="8">
        <v>72</v>
      </c>
      <c r="L32" s="3">
        <f>K32/E5</f>
        <v>1.0332430154565979E-5</v>
      </c>
      <c r="M32" s="8">
        <f>ROUNDDOWN(L32*E6,0)</f>
        <v>1</v>
      </c>
      <c r="N32" s="4">
        <v>775312</v>
      </c>
      <c r="O32" s="10">
        <f t="shared" si="1"/>
        <v>10768.222222222223</v>
      </c>
      <c r="P32" s="7">
        <f t="shared" si="2"/>
        <v>10768.222222222223</v>
      </c>
    </row>
    <row r="33" spans="2:16" s="2" customFormat="1" x14ac:dyDescent="0.3">
      <c r="B33" t="s">
        <v>69</v>
      </c>
      <c r="C33" t="s">
        <v>44</v>
      </c>
      <c r="D33" t="s">
        <v>22</v>
      </c>
      <c r="E33" s="1" t="s">
        <v>64</v>
      </c>
      <c r="F33" s="3" t="e">
        <f>E33/E5</f>
        <v>#VALUE!</v>
      </c>
      <c r="G33" t="e">
        <f>ROUNDDOWN(F33*E6,0)</f>
        <v>#VALUE!</v>
      </c>
      <c r="H33" s="1" t="s">
        <v>64</v>
      </c>
      <c r="I33" s="7" t="e">
        <f>H33/E33</f>
        <v>#VALUE!</v>
      </c>
      <c r="J33" s="7" t="e">
        <f t="shared" si="0"/>
        <v>#VALUE!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69</v>
      </c>
      <c r="C34" t="s">
        <v>14</v>
      </c>
      <c r="D34" t="s">
        <v>22</v>
      </c>
      <c r="E34" s="1">
        <v>279</v>
      </c>
      <c r="F34" s="3">
        <f>E34/E5</f>
        <v>4.0038166848943168E-5</v>
      </c>
      <c r="G34">
        <f>ROUNDDOWN(F34*E6,0)</f>
        <v>7</v>
      </c>
      <c r="H34" s="4">
        <v>1105303</v>
      </c>
      <c r="I34" s="7">
        <f>H34/E34</f>
        <v>3961.6594982078855</v>
      </c>
      <c r="J34" s="7">
        <f t="shared" si="0"/>
        <v>27731.616487455198</v>
      </c>
      <c r="K34" s="8">
        <v>49</v>
      </c>
      <c r="L34" s="3">
        <f>K34/E5</f>
        <v>7.0317927440796254E-6</v>
      </c>
      <c r="M34" s="8">
        <f>ROUNDDOWN(L34*E6,0)</f>
        <v>1</v>
      </c>
      <c r="N34" s="4">
        <v>138623</v>
      </c>
      <c r="O34" s="10">
        <f t="shared" si="1"/>
        <v>2829.0408163265306</v>
      </c>
      <c r="P34" s="7">
        <f t="shared" si="2"/>
        <v>2829.0408163265306</v>
      </c>
    </row>
    <row r="35" spans="2:16" s="2" customFormat="1" x14ac:dyDescent="0.3">
      <c r="B35" t="s">
        <v>69</v>
      </c>
      <c r="C35" t="s">
        <v>45</v>
      </c>
      <c r="D35" t="s">
        <v>22</v>
      </c>
      <c r="E35" s="1">
        <v>418</v>
      </c>
      <c r="F35" s="3">
        <f>E35/E5</f>
        <v>5.998549728623027E-5</v>
      </c>
      <c r="G35">
        <f>ROUNDDOWN(F35*E6,0)</f>
        <v>10</v>
      </c>
      <c r="H35" s="4">
        <v>15980875</v>
      </c>
      <c r="I35" s="7">
        <f t="shared" si="3"/>
        <v>38231.758373205739</v>
      </c>
      <c r="J35" s="7">
        <f t="shared" si="0"/>
        <v>382317.58373205736</v>
      </c>
      <c r="K35" s="8">
        <v>75</v>
      </c>
      <c r="L35" s="3">
        <f>K35/E5</f>
        <v>1.0762948077672895E-5</v>
      </c>
      <c r="M35" s="8">
        <f>ROUNDDOWN(L35*E6,0)</f>
        <v>1</v>
      </c>
      <c r="N35" s="4">
        <v>511886</v>
      </c>
      <c r="O35" s="10">
        <f t="shared" si="1"/>
        <v>6825.1466666666665</v>
      </c>
      <c r="P35" s="7">
        <f t="shared" si="2"/>
        <v>6825.1466666666665</v>
      </c>
    </row>
    <row r="36" spans="2:16" s="2" customFormat="1" x14ac:dyDescent="0.3">
      <c r="B36" t="s">
        <v>69</v>
      </c>
      <c r="C36" t="s">
        <v>15</v>
      </c>
      <c r="D36" t="s">
        <v>22</v>
      </c>
      <c r="E36" s="1">
        <v>172</v>
      </c>
      <c r="F36" s="3">
        <f>E36/E5</f>
        <v>2.4683027591463173E-5</v>
      </c>
      <c r="G36">
        <f>ROUNDDOWN(F36*E6,0)</f>
        <v>4</v>
      </c>
      <c r="H36" s="4">
        <v>228032</v>
      </c>
      <c r="I36" s="7">
        <f t="shared" si="3"/>
        <v>1325.7674418604652</v>
      </c>
      <c r="J36" s="7">
        <f t="shared" si="0"/>
        <v>5303.0697674418607</v>
      </c>
      <c r="K36" s="8">
        <v>101</v>
      </c>
      <c r="L36" s="3">
        <f>K36/E5</f>
        <v>1.4494103411266165E-5</v>
      </c>
      <c r="M36" s="8">
        <f>ROUNDDOWN(L36*E6,0)</f>
        <v>2</v>
      </c>
      <c r="N36" s="4">
        <v>4104</v>
      </c>
      <c r="O36" s="10">
        <f t="shared" si="1"/>
        <v>40.633663366336634</v>
      </c>
      <c r="P36" s="7">
        <f t="shared" si="2"/>
        <v>81.267326732673268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7371</v>
      </c>
      <c r="G38" t="e">
        <f>SUM(G8:G36)</f>
        <v>#VALUE!</v>
      </c>
      <c r="I38" s="7">
        <f t="shared" si="3"/>
        <v>0</v>
      </c>
      <c r="J38" s="7" t="e">
        <f t="shared" si="0"/>
        <v>#VALUE!</v>
      </c>
      <c r="L38" s="3"/>
      <c r="M38" s="3"/>
      <c r="N38" s="10"/>
      <c r="O38" s="10"/>
    </row>
    <row r="39" spans="2:16" x14ac:dyDescent="0.3">
      <c r="C39" t="s">
        <v>65</v>
      </c>
    </row>
    <row r="40" spans="2:16" x14ac:dyDescent="0.3">
      <c r="C40" t="s">
        <v>66</v>
      </c>
    </row>
    <row r="41" spans="2:16" x14ac:dyDescent="0.3">
      <c r="C41" t="s">
        <v>67</v>
      </c>
    </row>
    <row r="42" spans="2:16" x14ac:dyDescent="0.3">
      <c r="C42" t="s">
        <v>68</v>
      </c>
    </row>
  </sheetData>
  <phoneticPr fontId="1" type="noConversion"/>
  <hyperlinks>
    <hyperlink ref="B5" r:id="rId1" xr:uid="{9774C69A-8C53-437F-B1D2-343D3EC5ADF9}"/>
    <hyperlink ref="B6" r:id="rId2" xr:uid="{E343FAFD-CF7E-425B-BCFA-E5760F6BE683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E138-99DE-49FB-81DF-2812B32A818A}">
  <dimension ref="A3:P21"/>
  <sheetViews>
    <sheetView workbookViewId="0">
      <selection activeCell="F5" sqref="F5"/>
    </sheetView>
  </sheetViews>
  <sheetFormatPr defaultRowHeight="14.4" x14ac:dyDescent="0.3"/>
  <cols>
    <col min="2" max="2" width="5" bestFit="1" customWidth="1"/>
    <col min="3" max="3" width="13.44140625" bestFit="1" customWidth="1"/>
    <col min="5" max="5" width="6.5546875" bestFit="1" customWidth="1"/>
    <col min="6" max="6" width="11" bestFit="1" customWidth="1"/>
    <col min="7" max="7" width="18.6640625" bestFit="1" customWidth="1"/>
    <col min="8" max="8" width="8.21875" bestFit="1" customWidth="1"/>
    <col min="9" max="9" width="7.5546875" bestFit="1" customWidth="1"/>
    <col min="10" max="10" width="11.6640625" bestFit="1" customWidth="1"/>
    <col min="11" max="11" width="20.21875" bestFit="1" customWidth="1"/>
    <col min="12" max="12" width="8.5546875" bestFit="1" customWidth="1"/>
    <col min="13" max="13" width="33.88671875" bestFit="1" customWidth="1"/>
    <col min="14" max="14" width="13.88671875" bestFit="1" customWidth="1"/>
    <col min="15" max="15" width="12" bestFit="1" customWidth="1"/>
    <col min="16" max="16" width="4.21875" bestFit="1" customWidth="1"/>
  </cols>
  <sheetData>
    <row r="3" spans="1:16" x14ac:dyDescent="0.3">
      <c r="F3" s="17" t="s">
        <v>101</v>
      </c>
      <c r="G3" s="17"/>
      <c r="H3" s="17"/>
      <c r="I3" s="17"/>
      <c r="J3" s="17"/>
      <c r="K3" s="17" t="s">
        <v>103</v>
      </c>
      <c r="L3" s="17"/>
      <c r="M3" s="17"/>
      <c r="N3" s="17" t="s">
        <v>105</v>
      </c>
      <c r="O3" s="17"/>
      <c r="P3" s="17"/>
    </row>
    <row r="4" spans="1:16" x14ac:dyDescent="0.3">
      <c r="B4" t="s">
        <v>98</v>
      </c>
      <c r="C4" t="s">
        <v>99</v>
      </c>
      <c r="E4" t="s">
        <v>100</v>
      </c>
      <c r="F4" t="s">
        <v>102</v>
      </c>
      <c r="G4" t="s">
        <v>11</v>
      </c>
      <c r="H4" t="s">
        <v>10</v>
      </c>
      <c r="I4" t="s">
        <v>12</v>
      </c>
      <c r="J4" t="s">
        <v>13</v>
      </c>
      <c r="K4" t="s">
        <v>5</v>
      </c>
      <c r="L4" t="s">
        <v>9</v>
      </c>
      <c r="M4" t="s">
        <v>104</v>
      </c>
      <c r="N4" t="s">
        <v>33</v>
      </c>
      <c r="O4" t="s">
        <v>106</v>
      </c>
      <c r="P4" t="s">
        <v>107</v>
      </c>
    </row>
    <row r="5" spans="1:16" x14ac:dyDescent="0.3">
      <c r="B5">
        <v>2016</v>
      </c>
      <c r="C5" s="1">
        <f>'2016_IC3 State to City'!$E$6</f>
        <v>177746</v>
      </c>
      <c r="F5">
        <f>'2016_IC3 State to City'!$G$13</f>
        <v>1</v>
      </c>
      <c r="G5" s="1">
        <f>'2016_IC3 State to City'!$G$29</f>
        <v>11</v>
      </c>
      <c r="H5">
        <f>'2016_IC3 State to City'!$G$22</f>
        <v>1</v>
      </c>
      <c r="I5" s="1">
        <f>'2016_IC3 State to City'!$G$30</f>
        <v>7</v>
      </c>
      <c r="J5" s="1">
        <f>'2016_IC3 State to City'!$G$31</f>
        <v>1</v>
      </c>
      <c r="K5" s="1">
        <f>'2016_IC3 State to City'!$G$12</f>
        <v>0</v>
      </c>
      <c r="L5" s="1">
        <f>'2016_IC3 State to City'!$G$15</f>
        <v>9</v>
      </c>
      <c r="M5" s="1">
        <f>'2016_IC3 State to City'!$G$36</f>
        <v>7</v>
      </c>
      <c r="N5" s="1">
        <f>'2016_IC3 State to City'!$G$18</f>
        <v>1</v>
      </c>
      <c r="O5" s="1">
        <f>'2016_IC3 State to City'!$G$19</f>
        <v>7</v>
      </c>
      <c r="P5" s="1">
        <f>'2016_IC3 State to City'!$G$8</f>
        <v>4</v>
      </c>
    </row>
    <row r="6" spans="1:16" x14ac:dyDescent="0.3">
      <c r="B6">
        <v>2017</v>
      </c>
      <c r="C6" s="1">
        <f>'2017_IC3 State to City'!$E$6</f>
        <v>179530</v>
      </c>
      <c r="D6" s="1">
        <f>C6-C5</f>
        <v>1784</v>
      </c>
      <c r="F6" s="1">
        <f>'2017_IC3 State to City'!$G$13</f>
        <v>1</v>
      </c>
      <c r="G6" s="1">
        <f>'2017_IC3 State to City'!$G$13</f>
        <v>1</v>
      </c>
      <c r="H6" s="1">
        <f>'2017_IC3 State to City'!$G$22</f>
        <v>1</v>
      </c>
      <c r="I6" s="1">
        <f>'2017_IC3 State to City'!$G$30</f>
        <v>9</v>
      </c>
      <c r="J6" s="1">
        <f>'2017_IC3 State to City'!$G$31</f>
        <v>0</v>
      </c>
      <c r="K6" s="1">
        <f>'2017_IC3 State to City'!$G$12</f>
        <v>0</v>
      </c>
      <c r="L6" s="1">
        <f>'2017_IC3 State to City'!$G$15</f>
        <v>7</v>
      </c>
      <c r="M6" s="1">
        <f>'2017_IC3 State to City'!$G$36</f>
        <v>6</v>
      </c>
      <c r="N6" s="1">
        <f>'2017_IC3 State to City'!$G$18</f>
        <v>1</v>
      </c>
      <c r="O6" s="1">
        <f>'2017_IC3 State to City'!$G$19</f>
        <v>8</v>
      </c>
      <c r="P6" s="1">
        <f>'2017_IC3 State to City'!$G$8</f>
        <v>4</v>
      </c>
    </row>
    <row r="7" spans="1:16" x14ac:dyDescent="0.3">
      <c r="B7">
        <v>2018</v>
      </c>
      <c r="C7" s="1">
        <f>'2018_IC3 State to City'!$E$6</f>
        <v>181918</v>
      </c>
      <c r="D7" s="1">
        <f t="shared" ref="D7:D11" si="0">C7-C6</f>
        <v>2388</v>
      </c>
      <c r="F7" s="1">
        <f>'2018_IC3 State to City'!$G$13</f>
        <v>0</v>
      </c>
      <c r="G7" s="1">
        <f>'2018_IC3 State to City'!$G$29</f>
        <v>18</v>
      </c>
      <c r="H7" s="1">
        <f>'2018_IC3 State to City'!$G$22</f>
        <v>0</v>
      </c>
      <c r="I7" s="1">
        <f>'2018_IC3 State to City'!$G$30</f>
        <v>8</v>
      </c>
      <c r="J7" s="1">
        <f>'2018_IC3 State to City'!$G$31</f>
        <v>0</v>
      </c>
      <c r="K7" s="1">
        <f>'2018_IC3 State to City'!$G$12</f>
        <v>0</v>
      </c>
      <c r="L7" s="1">
        <f>'2018_IC3 State to City'!$G$15</f>
        <v>20</v>
      </c>
      <c r="M7" s="1">
        <f>'2018_IC3 State to City'!$G$36</f>
        <v>7</v>
      </c>
      <c r="N7" s="1">
        <f>'2018_IC3 State to City'!$G$18</f>
        <v>0</v>
      </c>
      <c r="O7" s="1">
        <f>'2018_IC3 State to City'!$G$19</f>
        <v>10</v>
      </c>
      <c r="P7" s="1">
        <f>'2018_IC3 State to City'!$G$8</f>
        <v>7</v>
      </c>
    </row>
    <row r="8" spans="1:16" x14ac:dyDescent="0.3">
      <c r="B8">
        <v>2019</v>
      </c>
      <c r="C8" s="1">
        <f>'2019_IC3 State to City'!$E$6</f>
        <v>182799</v>
      </c>
      <c r="D8" s="1">
        <f t="shared" si="0"/>
        <v>881</v>
      </c>
      <c r="F8">
        <f>ROUNDDOWN(E8*D1,0)</f>
        <v>0</v>
      </c>
      <c r="G8" s="1">
        <f>'2019_IC3 State to City'!$G$29</f>
        <v>13</v>
      </c>
      <c r="H8" s="1">
        <f>'2019_IC3 State to City'!$G$22</f>
        <v>1</v>
      </c>
      <c r="I8" s="1">
        <f>'2019_IC3 State to City'!$G$30</f>
        <v>8</v>
      </c>
      <c r="J8" s="1">
        <f>'2019_IC3 State to City'!$G$31</f>
        <v>0</v>
      </c>
      <c r="K8" s="1">
        <f>'2019_IC3 State to City'!$G$12</f>
        <v>0</v>
      </c>
      <c r="L8" s="1">
        <f>'2019_IC3 State to City'!$G$15</f>
        <v>19</v>
      </c>
      <c r="M8" s="1">
        <f>'2019_IC3 State to City'!$G$36</f>
        <v>5</v>
      </c>
      <c r="N8" s="1">
        <f>'2019_IC3 State to City'!$G$18</f>
        <v>1</v>
      </c>
      <c r="O8" s="1">
        <f>'2019_IC3 State to City'!$G$19</f>
        <v>7</v>
      </c>
      <c r="P8" s="1">
        <f>'2019_IC3 State to City'!$G$8</f>
        <v>8</v>
      </c>
    </row>
    <row r="9" spans="1:16" x14ac:dyDescent="0.3">
      <c r="B9">
        <v>2020</v>
      </c>
      <c r="C9" s="1">
        <f>'2020_IC3 State to City'!$E$6</f>
        <v>181560</v>
      </c>
      <c r="D9" s="1">
        <f t="shared" si="0"/>
        <v>-1239</v>
      </c>
      <c r="F9" s="1">
        <f>'2020_IC3 State to City'!$G$13</f>
        <v>0</v>
      </c>
      <c r="G9" s="1">
        <f>'2020_IC3 State to City'!$G$29</f>
        <v>18</v>
      </c>
      <c r="H9" s="1">
        <f>'2020_IC3 State to City'!$G$22</f>
        <v>0</v>
      </c>
      <c r="I9" s="1">
        <f>'2020_IC3 State to City'!$G$30</f>
        <v>9</v>
      </c>
      <c r="J9" s="1">
        <f>'2020_IC3 State to City'!$G$31</f>
        <v>0</v>
      </c>
      <c r="K9" s="1">
        <f>'2020_IC3 State to City'!$G$12</f>
        <v>1</v>
      </c>
      <c r="L9" s="1">
        <f>'2020_IC3 State to City'!$G$15</f>
        <v>31</v>
      </c>
      <c r="M9" s="1">
        <f>'2020_IC3 State to City'!$G$36</f>
        <v>6</v>
      </c>
      <c r="N9" s="1">
        <f>'2020_IC3 State to City'!$G$18</f>
        <v>1</v>
      </c>
      <c r="O9" s="1">
        <f>'2020_IC3 State to City'!$G$19</f>
        <v>10</v>
      </c>
      <c r="P9" s="1">
        <f>'2020_IC3 State to City'!$G$8</f>
        <v>6</v>
      </c>
    </row>
    <row r="10" spans="1:16" x14ac:dyDescent="0.3">
      <c r="B10">
        <v>2021</v>
      </c>
      <c r="C10" s="1">
        <f>'2021_IC3 State to City'!$E$6</f>
        <v>181163</v>
      </c>
      <c r="D10" s="1">
        <f t="shared" si="0"/>
        <v>-397</v>
      </c>
      <c r="F10" s="1">
        <f>'2021_IC3 State to City'!$G$13</f>
        <v>0</v>
      </c>
      <c r="G10" s="1">
        <f>'2021_IC3 State to City'!$G$29</f>
        <v>19</v>
      </c>
      <c r="H10" s="1">
        <f>'2021_IC3 State to City'!$G$22</f>
        <v>0</v>
      </c>
      <c r="I10" s="1">
        <f>'2021_IC3 State to City'!$G$30</f>
        <v>11</v>
      </c>
      <c r="J10" s="1">
        <f>'2021_IC3 State to City'!$G$31</f>
        <v>1</v>
      </c>
      <c r="K10" s="1">
        <f>'2021_IC3 State to City'!$G$12</f>
        <v>0</v>
      </c>
      <c r="L10">
        <f>ROUNDDOWN(K10*J1,0)</f>
        <v>0</v>
      </c>
      <c r="M10" s="1">
        <f>'2021_IC3 State to City'!$G$36</f>
        <v>4</v>
      </c>
      <c r="N10" s="1">
        <f>'2021_IC3 State to City'!$G$18</f>
        <v>1</v>
      </c>
      <c r="O10" s="1">
        <f>'2021_IC3 State to City'!$G$19</f>
        <v>13</v>
      </c>
      <c r="P10" s="1">
        <f>'2021_IC3 State to City'!$G$8</f>
        <v>8</v>
      </c>
    </row>
    <row r="11" spans="1:16" x14ac:dyDescent="0.3">
      <c r="B11">
        <v>2022</v>
      </c>
      <c r="C11" s="1">
        <f>'2022_IC3 State to City'!$E$6</f>
        <v>184086</v>
      </c>
      <c r="D11" s="1">
        <f t="shared" si="0"/>
        <v>2923</v>
      </c>
      <c r="F11" s="1">
        <f>'2022_IC3 State to City'!$H$13</f>
        <v>1</v>
      </c>
      <c r="G11" s="1">
        <f>'2022_IC3 State to City'!$H$29</f>
        <v>23</v>
      </c>
      <c r="H11" s="1">
        <f>'2022_IC3 State to City'!$H$22</f>
        <v>0</v>
      </c>
      <c r="I11" s="1">
        <f>'2022_IC3 State to City'!$H$30</f>
        <v>7</v>
      </c>
      <c r="J11" s="1">
        <f>'2022_IC3 State to City'!$H$31</f>
        <v>0</v>
      </c>
      <c r="K11" s="1">
        <f>'2022_IC3 State to City'!$H$12</f>
        <v>1</v>
      </c>
      <c r="L11" s="1">
        <f>'2022_IC3 State to City'!$H$15</f>
        <v>18</v>
      </c>
      <c r="M11" s="1">
        <f>'2022_IC3 State to City'!$H$36</f>
        <v>0</v>
      </c>
      <c r="N11" s="1">
        <f>'2022_IC3 State to City'!$H$18</f>
        <v>0</v>
      </c>
      <c r="O11" s="1">
        <f>'2022_IC3 State to City'!$H$19</f>
        <v>14</v>
      </c>
      <c r="P11" s="1">
        <f>'2022_IC3 State to City'!$H$8</f>
        <v>10</v>
      </c>
    </row>
    <row r="14" spans="1:16" x14ac:dyDescent="0.3">
      <c r="A14" t="s">
        <v>112</v>
      </c>
      <c r="D14">
        <f>AVEDEV(C5:C11)</f>
        <v>1523.7959183673458</v>
      </c>
    </row>
    <row r="15" spans="1:16" x14ac:dyDescent="0.3">
      <c r="A15" t="s">
        <v>113</v>
      </c>
      <c r="D15" s="1">
        <f>C11+D14</f>
        <v>185609.79591836734</v>
      </c>
    </row>
    <row r="16" spans="1:16" x14ac:dyDescent="0.3">
      <c r="A16" t="s">
        <v>114</v>
      </c>
      <c r="D16">
        <f>ROUNDDOWN(C11+(D14*1.25),0)</f>
        <v>185990</v>
      </c>
    </row>
    <row r="17" spans="1:4" x14ac:dyDescent="0.3">
      <c r="A17" t="s">
        <v>115</v>
      </c>
      <c r="D17">
        <f>ROUNDDOWN(C11+(D14*0.75),0)</f>
        <v>185228</v>
      </c>
    </row>
    <row r="19" spans="1:4" x14ac:dyDescent="0.3">
      <c r="A19" t="s">
        <v>116</v>
      </c>
      <c r="D19">
        <f>2/6</f>
        <v>0.33333333333333331</v>
      </c>
    </row>
    <row r="21" spans="1:4" x14ac:dyDescent="0.3">
      <c r="D21" s="1">
        <f>MEDIAN(C5:C11)</f>
        <v>181560</v>
      </c>
    </row>
  </sheetData>
  <sortState xmlns:xlrd2="http://schemas.microsoft.com/office/spreadsheetml/2017/richdata2" ref="B5:C11">
    <sortCondition ref="B5:B11"/>
  </sortState>
  <mergeCells count="3">
    <mergeCell ref="F3:J3"/>
    <mergeCell ref="K3:M3"/>
    <mergeCell ref="N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9778-06B8-4619-B4BF-477C3D18F0B2}">
  <dimension ref="B4:Q38"/>
  <sheetViews>
    <sheetView tabSelected="1" topLeftCell="L1" workbookViewId="0">
      <selection activeCell="J29" sqref="J29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55.5546875" customWidth="1"/>
    <col min="9" max="9" width="41.88671875" style="5" customWidth="1"/>
    <col min="10" max="10" width="44" style="7" customWidth="1"/>
    <col min="11" max="11" width="56.21875" customWidth="1"/>
    <col min="12" max="12" width="34.21875" style="8" bestFit="1" customWidth="1"/>
    <col min="13" max="14" width="34.21875" style="8" customWidth="1"/>
    <col min="15" max="16" width="44.6640625" customWidth="1"/>
    <col min="17" max="17" width="37.77734375" bestFit="1" customWidth="1"/>
  </cols>
  <sheetData>
    <row r="4" spans="2:17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t="s">
        <v>21</v>
      </c>
      <c r="I4" s="5" t="s">
        <v>25</v>
      </c>
      <c r="J4" s="7" t="s">
        <v>46</v>
      </c>
      <c r="K4" t="s">
        <v>47</v>
      </c>
      <c r="L4" s="8" t="s">
        <v>49</v>
      </c>
      <c r="M4" s="8" t="s">
        <v>51</v>
      </c>
      <c r="N4" s="8" t="s">
        <v>52</v>
      </c>
      <c r="O4" t="s">
        <v>50</v>
      </c>
      <c r="P4" s="8" t="s">
        <v>54</v>
      </c>
      <c r="Q4" s="8" t="s">
        <v>53</v>
      </c>
    </row>
    <row r="5" spans="2:17" x14ac:dyDescent="0.3">
      <c r="B5" t="s">
        <v>3</v>
      </c>
      <c r="C5" t="s">
        <v>4</v>
      </c>
      <c r="D5" t="s">
        <v>8</v>
      </c>
      <c r="E5" s="1">
        <v>7051339</v>
      </c>
      <c r="F5" t="s">
        <v>16</v>
      </c>
      <c r="G5" t="s">
        <v>20</v>
      </c>
      <c r="H5" t="s">
        <v>117</v>
      </c>
      <c r="K5" t="s">
        <v>48</v>
      </c>
      <c r="Q5" t="s">
        <v>55</v>
      </c>
    </row>
    <row r="6" spans="2:17" s="2" customFormat="1" x14ac:dyDescent="0.3">
      <c r="B6" t="s">
        <v>19</v>
      </c>
      <c r="C6" t="s">
        <v>18</v>
      </c>
      <c r="D6" t="s">
        <v>8</v>
      </c>
      <c r="E6" s="1">
        <v>184086</v>
      </c>
      <c r="F6"/>
      <c r="G6"/>
      <c r="H6"/>
      <c r="I6" s="5"/>
      <c r="J6" s="7"/>
      <c r="L6" s="8"/>
      <c r="M6" s="8"/>
      <c r="N6" s="8"/>
    </row>
    <row r="7" spans="2:17" s="2" customFormat="1" x14ac:dyDescent="0.3">
      <c r="B7" t="s">
        <v>23</v>
      </c>
      <c r="C7" t="s">
        <v>26</v>
      </c>
      <c r="D7" t="s">
        <v>22</v>
      </c>
      <c r="E7" s="1">
        <v>204</v>
      </c>
      <c r="F7" s="3">
        <f>E7/E5</f>
        <v>2.8930675436254022E-5</v>
      </c>
      <c r="G7">
        <f>F7*E6</f>
        <v>5.3257323183582574</v>
      </c>
      <c r="H7">
        <f>ROUNDDOWN(F7*E6,0)</f>
        <v>5</v>
      </c>
      <c r="I7" s="5">
        <v>1807140</v>
      </c>
      <c r="J7" s="7">
        <f>I7/E7</f>
        <v>8858.5294117647063</v>
      </c>
      <c r="K7" s="7">
        <f>J7*H7</f>
        <v>44292.647058823532</v>
      </c>
      <c r="L7" s="8">
        <v>61</v>
      </c>
      <c r="M7" s="3">
        <f>L7/E5</f>
        <v>8.6508392235857613E-6</v>
      </c>
      <c r="N7" s="8">
        <f>ROUNDDOWN(M7*E6,0)</f>
        <v>1</v>
      </c>
      <c r="O7" s="10">
        <v>1129309</v>
      </c>
      <c r="P7" s="10">
        <f>O7/L7</f>
        <v>18513.262295081968</v>
      </c>
      <c r="Q7" s="7">
        <f>N7*P7</f>
        <v>18513.262295081968</v>
      </c>
    </row>
    <row r="8" spans="2:17" s="2" customFormat="1" x14ac:dyDescent="0.3">
      <c r="B8" t="s">
        <v>23</v>
      </c>
      <c r="C8" t="s">
        <v>24</v>
      </c>
      <c r="D8" t="s">
        <v>22</v>
      </c>
      <c r="E8" s="1">
        <v>416</v>
      </c>
      <c r="F8" s="3">
        <f>E8/E5</f>
        <v>5.8995887164125847E-5</v>
      </c>
      <c r="G8">
        <f>F8*E6</f>
        <v>10.860316884495271</v>
      </c>
      <c r="H8">
        <f>ROUNDDOWN(F8*E6,0)</f>
        <v>10</v>
      </c>
      <c r="I8" s="5">
        <v>46637795</v>
      </c>
      <c r="J8" s="7">
        <f>I8/E8</f>
        <v>112110.08413461539</v>
      </c>
      <c r="K8" s="7">
        <f t="shared" ref="K8:K38" si="0">J8*H8</f>
        <v>1121100.841346154</v>
      </c>
      <c r="L8" s="8">
        <v>60</v>
      </c>
      <c r="M8" s="3">
        <f>L8/E5</f>
        <v>8.5090221871335367E-6</v>
      </c>
      <c r="N8" s="8">
        <f>ROUNDDOWN(M8*E6,0)</f>
        <v>1</v>
      </c>
      <c r="O8" s="10">
        <v>8204329</v>
      </c>
      <c r="P8" s="10">
        <f t="shared" ref="P8:P36" si="1">O8/L8</f>
        <v>136738.81666666668</v>
      </c>
      <c r="Q8" s="7">
        <f t="shared" ref="Q8:Q36" si="2">N8*P8</f>
        <v>136738.81666666668</v>
      </c>
    </row>
    <row r="9" spans="2:17" s="2" customFormat="1" x14ac:dyDescent="0.3">
      <c r="B9" t="s">
        <v>23</v>
      </c>
      <c r="C9" t="s">
        <v>27</v>
      </c>
      <c r="D9" t="s">
        <v>22</v>
      </c>
      <c r="E9" s="1">
        <v>9</v>
      </c>
      <c r="F9" s="3">
        <f>E9/E5</f>
        <v>1.2763533280700304E-6</v>
      </c>
      <c r="G9">
        <f>F9*E6</f>
        <v>0.23495877875109963</v>
      </c>
      <c r="H9">
        <f>ROUNDDOWN(F9*E6,0)</f>
        <v>0</v>
      </c>
      <c r="I9" s="4">
        <v>643</v>
      </c>
      <c r="J9" s="7">
        <f t="shared" ref="J9:J38" si="3">I9/E9</f>
        <v>71.444444444444443</v>
      </c>
      <c r="K9" s="7">
        <f t="shared" si="0"/>
        <v>0</v>
      </c>
      <c r="L9" s="8">
        <v>7</v>
      </c>
      <c r="M9" s="3">
        <f>L9/E5</f>
        <v>9.9271925516557917E-7</v>
      </c>
      <c r="N9" s="8">
        <f>ROUNDDOWN(M9*E6,0)</f>
        <v>0</v>
      </c>
      <c r="O9" s="10">
        <v>439</v>
      </c>
      <c r="P9" s="10">
        <f t="shared" si="1"/>
        <v>62.714285714285715</v>
      </c>
      <c r="Q9" s="7">
        <f t="shared" si="2"/>
        <v>0</v>
      </c>
    </row>
    <row r="10" spans="2:17" s="2" customFormat="1" x14ac:dyDescent="0.3">
      <c r="B10" t="s">
        <v>23</v>
      </c>
      <c r="C10" t="s">
        <v>28</v>
      </c>
      <c r="D10" t="s">
        <v>22</v>
      </c>
      <c r="E10" s="1">
        <v>331</v>
      </c>
      <c r="F10" s="3">
        <f>E10/E5</f>
        <v>4.6941439065686671E-5</v>
      </c>
      <c r="G10">
        <f>F10*E6</f>
        <v>8.6412617518459971</v>
      </c>
      <c r="H10">
        <f>ROUNDDOWN(F10*E6,0)</f>
        <v>8</v>
      </c>
      <c r="I10" s="4">
        <v>8892488</v>
      </c>
      <c r="J10" s="7">
        <f t="shared" si="3"/>
        <v>26865.522658610273</v>
      </c>
      <c r="K10" s="7">
        <f t="shared" si="0"/>
        <v>214924.18126888218</v>
      </c>
      <c r="L10" s="8">
        <v>146</v>
      </c>
      <c r="M10" s="3">
        <f>L10/E5</f>
        <v>2.0705287322024936E-5</v>
      </c>
      <c r="N10" s="8">
        <f>ROUNDDOWN(M10*E6,0)</f>
        <v>3</v>
      </c>
      <c r="O10" s="10">
        <v>4323401</v>
      </c>
      <c r="P10" s="10">
        <f t="shared" si="1"/>
        <v>29612.335616438355</v>
      </c>
      <c r="Q10" s="7">
        <f t="shared" si="2"/>
        <v>88837.006849315061</v>
      </c>
    </row>
    <row r="11" spans="2:17" s="2" customFormat="1" x14ac:dyDescent="0.3">
      <c r="B11" t="s">
        <v>23</v>
      </c>
      <c r="C11" t="s">
        <v>29</v>
      </c>
      <c r="D11" t="s">
        <v>22</v>
      </c>
      <c r="E11" s="1">
        <v>471</v>
      </c>
      <c r="F11" s="3">
        <f>E11/E5</f>
        <v>6.6795824168998253E-5</v>
      </c>
      <c r="G11">
        <f>F11*E6</f>
        <v>12.296176087974212</v>
      </c>
      <c r="H11">
        <f>ROUNDDOWN(F11*E6,0)</f>
        <v>12</v>
      </c>
      <c r="I11" s="6">
        <v>3879384</v>
      </c>
      <c r="J11" s="7">
        <f t="shared" si="3"/>
        <v>8236.4840764331202</v>
      </c>
      <c r="K11" s="7">
        <f t="shared" si="0"/>
        <v>98837.808917197442</v>
      </c>
      <c r="L11" s="8">
        <v>196</v>
      </c>
      <c r="M11" s="3">
        <f>L11/E5</f>
        <v>2.7796139144636219E-5</v>
      </c>
      <c r="N11" s="8">
        <f>ROUNDDOWN(M11*E6,0)</f>
        <v>5</v>
      </c>
      <c r="O11" s="10">
        <v>1537536</v>
      </c>
      <c r="P11" s="10">
        <f t="shared" si="1"/>
        <v>7844.5714285714284</v>
      </c>
      <c r="Q11" s="7">
        <f t="shared" si="2"/>
        <v>39222.857142857145</v>
      </c>
    </row>
    <row r="12" spans="2:17" s="2" customFormat="1" x14ac:dyDescent="0.3">
      <c r="B12" t="s">
        <v>23</v>
      </c>
      <c r="C12" t="s">
        <v>5</v>
      </c>
      <c r="D12" t="s">
        <v>22</v>
      </c>
      <c r="E12" s="1">
        <v>54</v>
      </c>
      <c r="F12" s="3">
        <f>E12/E5</f>
        <v>7.6581199684201826E-6</v>
      </c>
      <c r="G12">
        <f>F12*E6</f>
        <v>1.4097526725065976</v>
      </c>
      <c r="H12">
        <f>ROUNDDOWN(F12*E6,0)</f>
        <v>1</v>
      </c>
      <c r="I12" s="5">
        <v>2681</v>
      </c>
      <c r="J12" s="7">
        <f t="shared" si="3"/>
        <v>49.648148148148145</v>
      </c>
      <c r="K12" s="7">
        <f t="shared" si="0"/>
        <v>49.648148148148145</v>
      </c>
      <c r="L12" s="8">
        <v>9</v>
      </c>
      <c r="M12" s="3">
        <f>L12/E5</f>
        <v>1.2763533280700304E-6</v>
      </c>
      <c r="N12" s="8">
        <f>ROUNDDOWN(M12*E6,0)</f>
        <v>0</v>
      </c>
      <c r="O12" s="10">
        <v>566</v>
      </c>
      <c r="P12" s="10">
        <f t="shared" si="1"/>
        <v>62.888888888888886</v>
      </c>
      <c r="Q12" s="7">
        <f t="shared" si="2"/>
        <v>0</v>
      </c>
    </row>
    <row r="13" spans="2:17" s="2" customFormat="1" x14ac:dyDescent="0.3">
      <c r="B13" t="s">
        <v>23</v>
      </c>
      <c r="C13" t="s">
        <v>6</v>
      </c>
      <c r="D13" t="s">
        <v>22</v>
      </c>
      <c r="E13" s="1">
        <v>44</v>
      </c>
      <c r="F13" s="3">
        <f>E13/E5</f>
        <v>6.2399496038979267E-6</v>
      </c>
      <c r="G13">
        <f>F13*E6</f>
        <v>1.1486873627831538</v>
      </c>
      <c r="H13">
        <f>ROUNDDOWN(F13*E6,0)</f>
        <v>1</v>
      </c>
      <c r="I13" s="5">
        <v>1499907</v>
      </c>
      <c r="J13" s="7">
        <f t="shared" si="3"/>
        <v>34088.795454545456</v>
      </c>
      <c r="K13" s="7">
        <f t="shared" si="0"/>
        <v>34088.795454545456</v>
      </c>
      <c r="L13" s="8">
        <v>35</v>
      </c>
      <c r="M13" s="3">
        <f>L13/E5</f>
        <v>4.9635962758278963E-6</v>
      </c>
      <c r="N13" s="8">
        <f>ROUNDDOWN(M13*E6,0)</f>
        <v>0</v>
      </c>
      <c r="O13" s="10">
        <v>497487</v>
      </c>
      <c r="P13" s="10">
        <f t="shared" si="1"/>
        <v>14213.914285714285</v>
      </c>
      <c r="Q13" s="7">
        <f t="shared" si="2"/>
        <v>0</v>
      </c>
    </row>
    <row r="14" spans="2:17" s="2" customFormat="1" x14ac:dyDescent="0.3">
      <c r="B14" t="s">
        <v>23</v>
      </c>
      <c r="C14" t="s">
        <v>30</v>
      </c>
      <c r="D14" t="s">
        <v>22</v>
      </c>
      <c r="E14" s="1">
        <v>255</v>
      </c>
      <c r="F14" s="3">
        <f>E14/E5</f>
        <v>3.6163344295317529E-5</v>
      </c>
      <c r="G14">
        <f>F14*E6</f>
        <v>6.6571653979478222</v>
      </c>
      <c r="H14">
        <f>ROUNDDOWN(F14*E6,0)</f>
        <v>6</v>
      </c>
      <c r="I14" s="4">
        <v>536631</v>
      </c>
      <c r="J14" s="7">
        <f t="shared" si="3"/>
        <v>2104.4352941176471</v>
      </c>
      <c r="K14" s="7">
        <f t="shared" si="0"/>
        <v>12626.611764705882</v>
      </c>
      <c r="L14" s="8">
        <v>85</v>
      </c>
      <c r="M14" s="3">
        <f>L14/E5</f>
        <v>1.2054448098439176E-5</v>
      </c>
      <c r="N14" s="8">
        <f>ROUNDDOWN(M14*E6,0)</f>
        <v>2</v>
      </c>
      <c r="O14" s="10">
        <v>84959</v>
      </c>
      <c r="P14" s="10">
        <f t="shared" si="1"/>
        <v>999.51764705882351</v>
      </c>
      <c r="Q14" s="7">
        <f t="shared" si="2"/>
        <v>1999.035294117647</v>
      </c>
    </row>
    <row r="15" spans="2:17" s="2" customFormat="1" x14ac:dyDescent="0.3">
      <c r="B15" t="s">
        <v>23</v>
      </c>
      <c r="C15" t="s">
        <v>9</v>
      </c>
      <c r="D15" t="s">
        <v>22</v>
      </c>
      <c r="E15" s="1">
        <v>695</v>
      </c>
      <c r="F15" s="3">
        <f>E15/E5</f>
        <v>9.8562840334296786E-5</v>
      </c>
      <c r="G15">
        <f>F15*E6</f>
        <v>18.144039025779357</v>
      </c>
      <c r="H15">
        <f>ROUNDDOWN(F15*E6,0)</f>
        <v>18</v>
      </c>
      <c r="I15" s="4">
        <v>595359</v>
      </c>
      <c r="J15" s="7">
        <f t="shared" si="3"/>
        <v>856.63165467625902</v>
      </c>
      <c r="K15" s="7">
        <f t="shared" si="0"/>
        <v>15419.369784172663</v>
      </c>
      <c r="L15" s="8">
        <v>110</v>
      </c>
      <c r="M15" s="3">
        <f>L15/E5</f>
        <v>1.5599874009744814E-5</v>
      </c>
      <c r="N15" s="8">
        <f>ROUNDDOWN(M15*E6,0)</f>
        <v>2</v>
      </c>
      <c r="O15" s="10">
        <v>131245</v>
      </c>
      <c r="P15" s="10">
        <f t="shared" si="1"/>
        <v>1193.1363636363637</v>
      </c>
      <c r="Q15" s="7">
        <f t="shared" si="2"/>
        <v>2386.2727272727275</v>
      </c>
    </row>
    <row r="16" spans="2:17" s="2" customFormat="1" x14ac:dyDescent="0.3">
      <c r="B16" t="s">
        <v>23</v>
      </c>
      <c r="C16" t="s">
        <v>31</v>
      </c>
      <c r="D16" t="s">
        <v>22</v>
      </c>
      <c r="E16" s="1">
        <v>195</v>
      </c>
      <c r="F16" s="3">
        <f>E16/E5</f>
        <v>2.7654322108183991E-5</v>
      </c>
      <c r="G16">
        <f>F16*E6</f>
        <v>5.0907735396071585</v>
      </c>
      <c r="H16">
        <f>ROUNDDOWN(F16*E6,0)</f>
        <v>5</v>
      </c>
      <c r="I16" s="4">
        <v>2305283</v>
      </c>
      <c r="J16" s="7">
        <f t="shared" si="3"/>
        <v>11821.964102564103</v>
      </c>
      <c r="K16" s="7">
        <f t="shared" si="0"/>
        <v>59109.820512820515</v>
      </c>
      <c r="L16" s="8">
        <v>44</v>
      </c>
      <c r="M16" s="3">
        <f>L16/E5</f>
        <v>6.2399496038979267E-6</v>
      </c>
      <c r="N16" s="8">
        <f>ROUNDDOWN(M16*E6,0)</f>
        <v>1</v>
      </c>
      <c r="O16" s="10">
        <v>665515</v>
      </c>
      <c r="P16" s="10">
        <f t="shared" si="1"/>
        <v>15125.34090909091</v>
      </c>
      <c r="Q16" s="7">
        <f t="shared" si="2"/>
        <v>15125.34090909091</v>
      </c>
    </row>
    <row r="17" spans="2:17" s="2" customFormat="1" x14ac:dyDescent="0.3">
      <c r="B17" t="s">
        <v>23</v>
      </c>
      <c r="C17" t="s">
        <v>32</v>
      </c>
      <c r="D17" t="s">
        <v>22</v>
      </c>
      <c r="E17" s="1">
        <v>173</v>
      </c>
      <c r="F17" s="3">
        <f>E17/E5</f>
        <v>2.453434730623503E-5</v>
      </c>
      <c r="G17">
        <f>F17*E6</f>
        <v>4.5164298582155817</v>
      </c>
      <c r="H17">
        <f>ROUNDDOWN(F17*E6,0)</f>
        <v>4</v>
      </c>
      <c r="I17" s="4">
        <v>1422</v>
      </c>
      <c r="J17" s="7">
        <f t="shared" si="3"/>
        <v>8.2196531791907521</v>
      </c>
      <c r="K17" s="7">
        <f t="shared" si="0"/>
        <v>32.878612716763008</v>
      </c>
      <c r="L17" s="8">
        <v>77</v>
      </c>
      <c r="M17" s="3">
        <f>L17/E5</f>
        <v>1.0919911806821371E-5</v>
      </c>
      <c r="N17" s="8">
        <f>ROUNDDOWN(M17*E6,0)</f>
        <v>2</v>
      </c>
      <c r="O17" s="11">
        <v>500</v>
      </c>
      <c r="P17" s="10">
        <f t="shared" si="1"/>
        <v>6.4935064935064934</v>
      </c>
      <c r="Q17" s="7">
        <f t="shared" si="2"/>
        <v>12.987012987012987</v>
      </c>
    </row>
    <row r="18" spans="2:17" s="2" customFormat="1" x14ac:dyDescent="0.3">
      <c r="B18" t="s">
        <v>23</v>
      </c>
      <c r="C18" t="s">
        <v>33</v>
      </c>
      <c r="D18" t="s">
        <v>22</v>
      </c>
      <c r="E18" s="1">
        <v>19</v>
      </c>
      <c r="F18" s="3">
        <f>E18/E5</f>
        <v>2.6945236925922863E-6</v>
      </c>
      <c r="G18">
        <f>F18*E6</f>
        <v>0.4960240884745436</v>
      </c>
      <c r="H18">
        <f>ROUNDDOWN(F18*E6,0)</f>
        <v>0</v>
      </c>
      <c r="I18" s="4">
        <v>1322</v>
      </c>
      <c r="J18" s="7">
        <f t="shared" si="3"/>
        <v>69.578947368421055</v>
      </c>
      <c r="K18" s="7">
        <f t="shared" si="0"/>
        <v>0</v>
      </c>
      <c r="L18" s="8">
        <v>18</v>
      </c>
      <c r="M18" s="3">
        <f>L18/E5</f>
        <v>2.5527066561400609E-6</v>
      </c>
      <c r="N18" s="8">
        <f>ROUNDDOWN(M18*E6,0)</f>
        <v>0</v>
      </c>
      <c r="O18" s="10">
        <v>74831</v>
      </c>
      <c r="P18" s="10">
        <f t="shared" si="1"/>
        <v>4157.2777777777774</v>
      </c>
      <c r="Q18" s="7">
        <f t="shared" si="2"/>
        <v>0</v>
      </c>
    </row>
    <row r="19" spans="2:17" s="2" customFormat="1" x14ac:dyDescent="0.3">
      <c r="B19" t="s">
        <v>23</v>
      </c>
      <c r="C19" t="s">
        <v>34</v>
      </c>
      <c r="D19" t="s">
        <v>22</v>
      </c>
      <c r="E19" s="1">
        <v>539</v>
      </c>
      <c r="F19" s="3">
        <f>E19/E5</f>
        <v>7.6439382647749591E-5</v>
      </c>
      <c r="G19">
        <f>F19*E6</f>
        <v>14.071420194093632</v>
      </c>
      <c r="H19">
        <f>ROUNDDOWN(F19*E6,0)</f>
        <v>14</v>
      </c>
      <c r="I19" s="4">
        <v>2057849</v>
      </c>
      <c r="J19" s="7">
        <f t="shared" si="3"/>
        <v>3817.9016697588127</v>
      </c>
      <c r="K19" s="7">
        <f t="shared" si="0"/>
        <v>53450.623376623378</v>
      </c>
      <c r="L19" s="8">
        <v>154</v>
      </c>
      <c r="M19" s="3">
        <f>L19/E5</f>
        <v>2.1839823613642743E-5</v>
      </c>
      <c r="N19" s="8">
        <f>ROUNDDOWN(M19*E6,0)</f>
        <v>4</v>
      </c>
      <c r="O19" s="10">
        <v>657767</v>
      </c>
      <c r="P19" s="10">
        <f t="shared" si="1"/>
        <v>4271.2142857142853</v>
      </c>
      <c r="Q19" s="7">
        <f t="shared" si="2"/>
        <v>17084.857142857141</v>
      </c>
    </row>
    <row r="20" spans="2:17" s="2" customFormat="1" x14ac:dyDescent="0.3">
      <c r="B20" t="s">
        <v>23</v>
      </c>
      <c r="C20" t="s">
        <v>35</v>
      </c>
      <c r="D20" t="s">
        <v>22</v>
      </c>
      <c r="E20" s="1">
        <v>261</v>
      </c>
      <c r="F20" s="3">
        <f>E20/E5</f>
        <v>3.7014246514030883E-5</v>
      </c>
      <c r="G20">
        <f>F20*E6</f>
        <v>6.8138045837818888</v>
      </c>
      <c r="H20">
        <f>ROUNDDOWN(F20*E6,0)</f>
        <v>6</v>
      </c>
      <c r="I20" s="4">
        <v>20869755</v>
      </c>
      <c r="J20" s="7">
        <f t="shared" si="3"/>
        <v>79960.747126436778</v>
      </c>
      <c r="K20" s="7">
        <f t="shared" si="0"/>
        <v>479764.48275862064</v>
      </c>
      <c r="L20" s="8">
        <v>56</v>
      </c>
      <c r="M20" s="3">
        <f>L20/E5</f>
        <v>7.9417540413246334E-6</v>
      </c>
      <c r="N20" s="8">
        <f>ROUNDDOWN(M20*E6,0)</f>
        <v>1</v>
      </c>
      <c r="O20" s="10">
        <v>3607694</v>
      </c>
      <c r="P20" s="10">
        <f t="shared" si="1"/>
        <v>64423.107142857145</v>
      </c>
      <c r="Q20" s="7">
        <f t="shared" si="2"/>
        <v>64423.107142857145</v>
      </c>
    </row>
    <row r="21" spans="2:17" s="2" customFormat="1" x14ac:dyDescent="0.3">
      <c r="B21" t="s">
        <v>23</v>
      </c>
      <c r="C21" t="s">
        <v>36</v>
      </c>
      <c r="D21" t="s">
        <v>22</v>
      </c>
      <c r="E21" s="1">
        <v>137</v>
      </c>
      <c r="F21" s="3">
        <f>E21/E5</f>
        <v>1.9428933993954908E-5</v>
      </c>
      <c r="G21">
        <f>F21*E6</f>
        <v>3.5765947432111833</v>
      </c>
      <c r="H21">
        <f>ROUNDDOWN(F21*E6,0)</f>
        <v>3</v>
      </c>
      <c r="I21" s="4">
        <v>2235665</v>
      </c>
      <c r="J21" s="7">
        <f t="shared" si="3"/>
        <v>16318.722627737227</v>
      </c>
      <c r="K21" s="7">
        <f t="shared" si="0"/>
        <v>48956.167883211681</v>
      </c>
      <c r="L21" s="8">
        <v>29</v>
      </c>
      <c r="M21" s="3">
        <f>L21/E5</f>
        <v>4.1126940571145421E-6</v>
      </c>
      <c r="N21" s="8">
        <f>ROUNDDOWN(M21*E6,0)</f>
        <v>0</v>
      </c>
      <c r="O21" s="10">
        <v>840629</v>
      </c>
      <c r="P21" s="10">
        <f t="shared" si="1"/>
        <v>28987.206896551725</v>
      </c>
      <c r="Q21" s="7">
        <f t="shared" si="2"/>
        <v>0</v>
      </c>
    </row>
    <row r="22" spans="2:17" s="2" customFormat="1" x14ac:dyDescent="0.3">
      <c r="B22" t="s">
        <v>23</v>
      </c>
      <c r="C22" t="s">
        <v>10</v>
      </c>
      <c r="D22" t="s">
        <v>22</v>
      </c>
      <c r="E22" s="1">
        <v>9</v>
      </c>
      <c r="F22" s="3">
        <f>E22/E5</f>
        <v>1.2763533280700304E-6</v>
      </c>
      <c r="G22">
        <f>F22*E6</f>
        <v>0.23495877875109963</v>
      </c>
      <c r="H22">
        <f>ROUNDDOWN(F22*E6,0)</f>
        <v>0</v>
      </c>
      <c r="I22" s="4">
        <v>705506</v>
      </c>
      <c r="J22" s="7">
        <f t="shared" si="3"/>
        <v>78389.555555555562</v>
      </c>
      <c r="K22" s="7">
        <f t="shared" si="0"/>
        <v>0</v>
      </c>
      <c r="L22" s="8">
        <v>1</v>
      </c>
      <c r="M22" s="3">
        <f>L22/E5</f>
        <v>1.418170364522256E-7</v>
      </c>
      <c r="N22" s="8">
        <f>ROUNDDOWN(M22*E6,0)</f>
        <v>0</v>
      </c>
      <c r="O22" s="10">
        <v>0</v>
      </c>
      <c r="P22" s="10">
        <f t="shared" si="1"/>
        <v>0</v>
      </c>
      <c r="Q22" s="7">
        <f t="shared" si="2"/>
        <v>0</v>
      </c>
    </row>
    <row r="23" spans="2:17" s="2" customFormat="1" x14ac:dyDescent="0.3">
      <c r="B23" t="s">
        <v>23</v>
      </c>
      <c r="C23" t="s">
        <v>37</v>
      </c>
      <c r="D23" t="s">
        <v>22</v>
      </c>
      <c r="E23" s="1">
        <v>0</v>
      </c>
      <c r="F23" s="3">
        <f>E23/E5</f>
        <v>0</v>
      </c>
      <c r="G23">
        <f>F23*E6</f>
        <v>0</v>
      </c>
      <c r="H23">
        <f>ROUNDDOWN(F23*E6,0)</f>
        <v>0</v>
      </c>
      <c r="I23" s="4">
        <v>0</v>
      </c>
      <c r="J23" s="7" t="e">
        <f t="shared" si="3"/>
        <v>#DIV/0!</v>
      </c>
      <c r="K23" s="7" t="e">
        <f t="shared" si="0"/>
        <v>#DIV/0!</v>
      </c>
      <c r="L23" s="8">
        <v>0</v>
      </c>
      <c r="M23" s="3">
        <f>L23/E5</f>
        <v>0</v>
      </c>
      <c r="N23" s="8">
        <f>ROUNDDOWN(M23*E6,0)</f>
        <v>0</v>
      </c>
      <c r="O23" s="10">
        <v>0</v>
      </c>
      <c r="P23" s="10" t="e">
        <f t="shared" si="1"/>
        <v>#DIV/0!</v>
      </c>
      <c r="Q23" s="7" t="e">
        <f t="shared" si="2"/>
        <v>#DIV/0!</v>
      </c>
    </row>
    <row r="24" spans="2:17" s="2" customFormat="1" x14ac:dyDescent="0.3">
      <c r="B24" t="s">
        <v>23</v>
      </c>
      <c r="C24" t="s">
        <v>38</v>
      </c>
      <c r="D24" t="s">
        <v>22</v>
      </c>
      <c r="E24" s="1">
        <v>0</v>
      </c>
      <c r="F24" s="3">
        <f>E24/E5</f>
        <v>0</v>
      </c>
      <c r="G24">
        <f>F24*E6</f>
        <v>0</v>
      </c>
      <c r="H24">
        <f>ROUNDDOWN(F24*E6,0)</f>
        <v>0</v>
      </c>
      <c r="I24" s="4">
        <v>0</v>
      </c>
      <c r="J24" s="7" t="e">
        <f t="shared" si="3"/>
        <v>#DIV/0!</v>
      </c>
      <c r="K24" s="7" t="e">
        <f t="shared" si="0"/>
        <v>#DIV/0!</v>
      </c>
      <c r="L24" s="8">
        <v>0</v>
      </c>
      <c r="M24" s="3">
        <f>L24/E5</f>
        <v>0</v>
      </c>
      <c r="N24" s="8">
        <f>ROUNDDOWN(M24*E6,0)</f>
        <v>0</v>
      </c>
      <c r="O24" s="10">
        <v>0</v>
      </c>
      <c r="P24" s="10" t="e">
        <f t="shared" si="1"/>
        <v>#DIV/0!</v>
      </c>
      <c r="Q24" s="7" t="e">
        <f t="shared" si="2"/>
        <v>#DIV/0!</v>
      </c>
    </row>
    <row r="25" spans="2:17" s="2" customFormat="1" x14ac:dyDescent="0.3">
      <c r="B25" t="s">
        <v>23</v>
      </c>
      <c r="C25" t="s">
        <v>39</v>
      </c>
      <c r="D25" t="s">
        <v>22</v>
      </c>
      <c r="E25" s="1">
        <v>514</v>
      </c>
      <c r="F25" s="3">
        <f>E25/E5</f>
        <v>7.2893956736443956E-5</v>
      </c>
      <c r="G25">
        <f>F25*E6</f>
        <v>13.418756919785022</v>
      </c>
      <c r="H25">
        <f>ROUNDDOWN(F25*E6,0)</f>
        <v>13</v>
      </c>
      <c r="I25" s="4">
        <v>0</v>
      </c>
      <c r="J25" s="7">
        <f t="shared" si="3"/>
        <v>0</v>
      </c>
      <c r="K25" s="7">
        <f t="shared" si="0"/>
        <v>0</v>
      </c>
      <c r="L25" s="8">
        <v>892</v>
      </c>
      <c r="M25" s="3">
        <f>L25/E5</f>
        <v>1.2650079651538524E-4</v>
      </c>
      <c r="N25" s="8">
        <f>ROUNDDOWN(M25*E6,0)</f>
        <v>23</v>
      </c>
      <c r="O25" s="10">
        <v>0</v>
      </c>
      <c r="P25" s="10">
        <f t="shared" si="1"/>
        <v>0</v>
      </c>
      <c r="Q25" s="7">
        <f t="shared" si="2"/>
        <v>0</v>
      </c>
    </row>
    <row r="26" spans="2:17" s="2" customFormat="1" x14ac:dyDescent="0.3">
      <c r="B26" t="s">
        <v>23</v>
      </c>
      <c r="C26" t="s">
        <v>40</v>
      </c>
      <c r="D26" t="s">
        <v>22</v>
      </c>
      <c r="E26" s="1">
        <v>849</v>
      </c>
      <c r="F26" s="3">
        <f>E26/E5</f>
        <v>1.2040266394793953E-4</v>
      </c>
      <c r="G26">
        <f>F26*E6</f>
        <v>22.164444795520396</v>
      </c>
      <c r="H26">
        <f>ROUNDDOWN(F26*E6,0)</f>
        <v>22</v>
      </c>
      <c r="I26" s="4">
        <v>3830326</v>
      </c>
      <c r="J26" s="7">
        <f t="shared" si="3"/>
        <v>4511.5736160188453</v>
      </c>
      <c r="K26" s="7">
        <f t="shared" si="0"/>
        <v>99254.619552414602</v>
      </c>
      <c r="L26" s="8">
        <v>365</v>
      </c>
      <c r="M26" s="3">
        <f>L26/E5</f>
        <v>5.1763218305062347E-5</v>
      </c>
      <c r="N26" s="8">
        <f>ROUNDDOWN(M26*E6,0)</f>
        <v>9</v>
      </c>
      <c r="O26" s="4">
        <v>2183461</v>
      </c>
      <c r="P26" s="10">
        <f t="shared" si="1"/>
        <v>5982.084931506849</v>
      </c>
      <c r="Q26" s="7">
        <f t="shared" si="2"/>
        <v>53838.76438356164</v>
      </c>
    </row>
    <row r="27" spans="2:17" s="2" customFormat="1" x14ac:dyDescent="0.3">
      <c r="B27" t="s">
        <v>23</v>
      </c>
      <c r="C27" t="s">
        <v>41</v>
      </c>
      <c r="D27" t="s">
        <v>22</v>
      </c>
      <c r="E27" s="1">
        <v>147</v>
      </c>
      <c r="F27" s="3">
        <f>E27/E5</f>
        <v>2.0847104358477164E-5</v>
      </c>
      <c r="G27">
        <f>F27*E6</f>
        <v>3.8376600529346274</v>
      </c>
      <c r="H27">
        <f>ROUNDDOWN(F27*E6,0)</f>
        <v>3</v>
      </c>
      <c r="I27" s="4">
        <v>1291750</v>
      </c>
      <c r="J27" s="7">
        <f t="shared" si="3"/>
        <v>8787.4149659863942</v>
      </c>
      <c r="K27" s="7">
        <f t="shared" si="0"/>
        <v>26362.244897959183</v>
      </c>
      <c r="L27" s="8">
        <v>53</v>
      </c>
      <c r="M27" s="3">
        <f>L27/E5</f>
        <v>7.5163029319679571E-6</v>
      </c>
      <c r="N27" s="8">
        <f>ROUNDDOWN(M27*E6,0)</f>
        <v>1</v>
      </c>
      <c r="O27" s="4">
        <v>1131997</v>
      </c>
      <c r="P27" s="10">
        <f>O27/L27</f>
        <v>21358.433962264149</v>
      </c>
      <c r="Q27" s="7">
        <f t="shared" si="2"/>
        <v>21358.433962264149</v>
      </c>
    </row>
    <row r="28" spans="2:17" s="2" customFormat="1" x14ac:dyDescent="0.3">
      <c r="B28" t="s">
        <v>23</v>
      </c>
      <c r="C28" t="s">
        <v>42</v>
      </c>
      <c r="D28" t="s">
        <v>22</v>
      </c>
      <c r="E28" s="1">
        <v>119</v>
      </c>
      <c r="F28" s="3">
        <f>E28/E5</f>
        <v>1.6876227337814846E-5</v>
      </c>
      <c r="G28">
        <f>F28*E6</f>
        <v>3.1066771857089837</v>
      </c>
      <c r="H28">
        <f>ROUNDDOWN(F28*E6,0)</f>
        <v>3</v>
      </c>
      <c r="I28" s="4">
        <v>669941</v>
      </c>
      <c r="J28" s="7">
        <f t="shared" si="3"/>
        <v>5629.7563025210084</v>
      </c>
      <c r="K28" s="7">
        <f>J28*H28</f>
        <v>16889.268907563026</v>
      </c>
      <c r="L28" s="8">
        <v>38</v>
      </c>
      <c r="M28" s="3">
        <f>L28/E5</f>
        <v>5.3890473851845725E-6</v>
      </c>
      <c r="N28" s="8">
        <f>ROUNDDOWN(M28*E6,0)</f>
        <v>0</v>
      </c>
      <c r="O28" s="4">
        <v>577476</v>
      </c>
      <c r="P28" s="10">
        <f t="shared" si="1"/>
        <v>15196.736842105263</v>
      </c>
      <c r="Q28" s="7">
        <f>N28*P28</f>
        <v>0</v>
      </c>
    </row>
    <row r="29" spans="2:17" s="2" customFormat="1" x14ac:dyDescent="0.3">
      <c r="B29" t="s">
        <v>23</v>
      </c>
      <c r="C29" t="s">
        <v>11</v>
      </c>
      <c r="D29" t="s">
        <v>22</v>
      </c>
      <c r="E29" s="1">
        <v>903</v>
      </c>
      <c r="F29" s="3">
        <f>E29/E5</f>
        <v>1.2806078391635971E-4</v>
      </c>
      <c r="G29">
        <f>F29*E6</f>
        <v>23.574197468026995</v>
      </c>
      <c r="H29">
        <f>ROUNDDOWN(F29*E6,0)</f>
        <v>23</v>
      </c>
      <c r="I29" s="4">
        <v>6376097</v>
      </c>
      <c r="J29" s="7">
        <f t="shared" si="3"/>
        <v>7061.0155038759694</v>
      </c>
      <c r="K29" s="7">
        <f t="shared" si="0"/>
        <v>162403.3565891473</v>
      </c>
      <c r="L29" s="8">
        <v>305</v>
      </c>
      <c r="M29" s="3">
        <f>L29/E5</f>
        <v>4.3254196117928805E-5</v>
      </c>
      <c r="N29" s="8">
        <f>ROUNDDOWN(M29*E6,0)</f>
        <v>7</v>
      </c>
      <c r="O29" s="4">
        <v>935734</v>
      </c>
      <c r="P29" s="10">
        <f t="shared" si="1"/>
        <v>3067.9803278688523</v>
      </c>
      <c r="Q29" s="7">
        <f t="shared" si="2"/>
        <v>21475.862295081966</v>
      </c>
    </row>
    <row r="30" spans="2:17" s="2" customFormat="1" x14ac:dyDescent="0.3">
      <c r="B30" t="s">
        <v>23</v>
      </c>
      <c r="C30" t="s">
        <v>12</v>
      </c>
      <c r="D30" t="s">
        <v>22</v>
      </c>
      <c r="E30" s="1">
        <v>296</v>
      </c>
      <c r="F30" s="3">
        <f>E30/E5</f>
        <v>4.1977842789858777E-5</v>
      </c>
      <c r="G30">
        <f>F30*E6</f>
        <v>7.7275331678139425</v>
      </c>
      <c r="H30">
        <f>ROUNDDOWN(F30*E6,0)</f>
        <v>7</v>
      </c>
      <c r="I30" s="4">
        <v>279475</v>
      </c>
      <c r="J30" s="7">
        <f t="shared" si="3"/>
        <v>944.17229729729729</v>
      </c>
      <c r="K30" s="7">
        <f t="shared" si="0"/>
        <v>6609.2060810810808</v>
      </c>
      <c r="L30" s="8">
        <v>43</v>
      </c>
      <c r="M30" s="3">
        <f>L30/E5</f>
        <v>6.0981325674457005E-6</v>
      </c>
      <c r="N30" s="8">
        <f>ROUNDDOWN(M30*E6,0)</f>
        <v>1</v>
      </c>
      <c r="O30" s="4">
        <v>109027</v>
      </c>
      <c r="P30" s="10">
        <f t="shared" si="1"/>
        <v>2535.5116279069766</v>
      </c>
      <c r="Q30" s="7">
        <f t="shared" si="2"/>
        <v>2535.5116279069766</v>
      </c>
    </row>
    <row r="31" spans="2:17" s="2" customFormat="1" x14ac:dyDescent="0.3">
      <c r="B31" t="s">
        <v>23</v>
      </c>
      <c r="C31" t="s">
        <v>13</v>
      </c>
      <c r="D31" t="s">
        <v>22</v>
      </c>
      <c r="E31" s="1">
        <v>31</v>
      </c>
      <c r="F31" s="3">
        <f>E31/E5</f>
        <v>4.3963281300189938E-6</v>
      </c>
      <c r="G31">
        <f>F31*E6</f>
        <v>0.80930246014267648</v>
      </c>
      <c r="H31">
        <f>ROUNDDOWN(F31*E6,0)</f>
        <v>0</v>
      </c>
      <c r="I31" s="4">
        <v>110000</v>
      </c>
      <c r="J31" s="7">
        <f>I31/E31</f>
        <v>3548.3870967741937</v>
      </c>
      <c r="K31" s="7">
        <f t="shared" si="0"/>
        <v>0</v>
      </c>
      <c r="L31" s="8">
        <v>0</v>
      </c>
      <c r="M31" s="3">
        <f>L31/E5</f>
        <v>0</v>
      </c>
      <c r="N31" s="8">
        <f>ROUNDDOWN(M31*E6,0)</f>
        <v>0</v>
      </c>
      <c r="O31" s="10">
        <v>0</v>
      </c>
      <c r="P31" s="10" t="e">
        <f t="shared" si="1"/>
        <v>#DIV/0!</v>
      </c>
      <c r="Q31" s="7" t="e">
        <f t="shared" si="2"/>
        <v>#DIV/0!</v>
      </c>
    </row>
    <row r="32" spans="2:17" s="2" customFormat="1" x14ac:dyDescent="0.3">
      <c r="B32" t="s">
        <v>23</v>
      </c>
      <c r="C32" t="s">
        <v>43</v>
      </c>
      <c r="D32" t="s">
        <v>22</v>
      </c>
      <c r="E32" s="1">
        <v>174</v>
      </c>
      <c r="F32" s="3">
        <f>E32/E5</f>
        <v>2.4676164342687254E-5</v>
      </c>
      <c r="G32">
        <f>F32*E6</f>
        <v>4.5425363891879256</v>
      </c>
      <c r="H32">
        <f>ROUNDDOWN(F32*E6,0)</f>
        <v>4</v>
      </c>
      <c r="I32" s="4">
        <v>7314288</v>
      </c>
      <c r="J32" s="7">
        <f t="shared" si="3"/>
        <v>42036.137931034486</v>
      </c>
      <c r="K32" s="7">
        <f t="shared" si="0"/>
        <v>168144.55172413794</v>
      </c>
      <c r="L32" s="8">
        <v>63</v>
      </c>
      <c r="M32" s="3">
        <f>L32/E5</f>
        <v>8.9344732964902121E-6</v>
      </c>
      <c r="N32" s="8">
        <f>ROUNDDOWN(M32*E6,0)</f>
        <v>1</v>
      </c>
      <c r="O32" s="4">
        <v>2917722</v>
      </c>
      <c r="P32" s="10">
        <f t="shared" si="1"/>
        <v>46313.047619047618</v>
      </c>
      <c r="Q32" s="7">
        <f t="shared" si="2"/>
        <v>46313.047619047618</v>
      </c>
    </row>
    <row r="33" spans="2:17" s="2" customFormat="1" x14ac:dyDescent="0.3">
      <c r="B33" t="s">
        <v>23</v>
      </c>
      <c r="C33" t="s">
        <v>44</v>
      </c>
      <c r="D33" t="s">
        <v>22</v>
      </c>
      <c r="E33" s="1">
        <v>25</v>
      </c>
      <c r="F33" s="3">
        <f>E33/E5</f>
        <v>3.54542591130564E-6</v>
      </c>
      <c r="G33">
        <f>F33*E6</f>
        <v>0.65266327430861004</v>
      </c>
      <c r="H33">
        <f>ROUNDDOWN(F33*E6,0)</f>
        <v>0</v>
      </c>
      <c r="I33" s="4">
        <v>630219</v>
      </c>
      <c r="J33" s="7">
        <f t="shared" si="3"/>
        <v>25208.76</v>
      </c>
      <c r="K33" s="7">
        <f t="shared" si="0"/>
        <v>0</v>
      </c>
      <c r="L33" s="8">
        <v>4</v>
      </c>
      <c r="M33" s="3">
        <f>L33/E5</f>
        <v>5.672681458089024E-7</v>
      </c>
      <c r="N33" s="8">
        <f>ROUNDDOWN(M33*E6,0)</f>
        <v>0</v>
      </c>
      <c r="O33" s="4">
        <v>180</v>
      </c>
      <c r="P33" s="10">
        <f t="shared" si="1"/>
        <v>45</v>
      </c>
      <c r="Q33" s="7">
        <f t="shared" si="2"/>
        <v>0</v>
      </c>
    </row>
    <row r="34" spans="2:17" s="2" customFormat="1" x14ac:dyDescent="0.3">
      <c r="B34" t="s">
        <v>23</v>
      </c>
      <c r="C34" t="s">
        <v>14</v>
      </c>
      <c r="D34" t="s">
        <v>22</v>
      </c>
      <c r="E34" s="1">
        <v>320</v>
      </c>
      <c r="F34" s="3">
        <f>E34/E5</f>
        <v>4.5381451664712194E-5</v>
      </c>
      <c r="G34">
        <f>F34*E6</f>
        <v>8.3540899111502096</v>
      </c>
      <c r="H34">
        <f>ROUNDDOWN(F34*E6,0)</f>
        <v>8</v>
      </c>
      <c r="I34" s="4">
        <v>517094</v>
      </c>
      <c r="J34" s="7">
        <f t="shared" si="3"/>
        <v>1615.91875</v>
      </c>
      <c r="K34" s="7">
        <f t="shared" si="0"/>
        <v>12927.35</v>
      </c>
      <c r="L34" s="8">
        <v>52</v>
      </c>
      <c r="M34" s="3">
        <f>L34/E5</f>
        <v>7.3744858955157309E-6</v>
      </c>
      <c r="N34" s="8">
        <f>ROUNDDOWN(M34*E6,0)</f>
        <v>1</v>
      </c>
      <c r="O34" s="4">
        <v>37720</v>
      </c>
      <c r="P34" s="10">
        <f t="shared" si="1"/>
        <v>725.38461538461536</v>
      </c>
      <c r="Q34" s="7">
        <f t="shared" si="2"/>
        <v>725.38461538461536</v>
      </c>
    </row>
    <row r="35" spans="2:17" s="2" customFormat="1" x14ac:dyDescent="0.3">
      <c r="B35" t="s">
        <v>23</v>
      </c>
      <c r="C35" t="s">
        <v>45</v>
      </c>
      <c r="D35" t="s">
        <v>22</v>
      </c>
      <c r="E35" s="1">
        <v>609</v>
      </c>
      <c r="F35" s="3">
        <f>E35/E5</f>
        <v>8.6366575199405392E-5</v>
      </c>
      <c r="G35">
        <f>F35*E6</f>
        <v>15.898877362157741</v>
      </c>
      <c r="H35">
        <f>ROUNDDOWN(F35*E6,0)</f>
        <v>15</v>
      </c>
      <c r="I35" s="4">
        <v>12760219</v>
      </c>
      <c r="J35" s="7">
        <f t="shared" si="3"/>
        <v>20952.740558292284</v>
      </c>
      <c r="K35" s="7">
        <f t="shared" si="0"/>
        <v>314291.10837438423</v>
      </c>
      <c r="L35" s="8">
        <v>99</v>
      </c>
      <c r="M35" s="3">
        <f>L35/E5</f>
        <v>1.4039886608770334E-5</v>
      </c>
      <c r="N35" s="8">
        <f>ROUNDDOWN(M35*E6,0)</f>
        <v>2</v>
      </c>
      <c r="O35" s="4">
        <v>2028988</v>
      </c>
      <c r="P35" s="10">
        <f t="shared" si="1"/>
        <v>20494.828282828283</v>
      </c>
      <c r="Q35" s="7">
        <f t="shared" si="2"/>
        <v>40989.656565656565</v>
      </c>
    </row>
    <row r="36" spans="2:17" s="2" customFormat="1" x14ac:dyDescent="0.3">
      <c r="B36" t="s">
        <v>23</v>
      </c>
      <c r="C36" t="s">
        <v>15</v>
      </c>
      <c r="D36" t="s">
        <v>22</v>
      </c>
      <c r="E36" s="1">
        <v>28</v>
      </c>
      <c r="F36" s="3">
        <f>E36/E5</f>
        <v>3.9708770206623167E-6</v>
      </c>
      <c r="G36">
        <f>F36*E6</f>
        <v>0.73098286722564321</v>
      </c>
      <c r="H36">
        <f>ROUNDDOWN(F36*E6,0)</f>
        <v>0</v>
      </c>
      <c r="I36" s="4">
        <v>1100</v>
      </c>
      <c r="J36" s="7">
        <f t="shared" si="3"/>
        <v>39.285714285714285</v>
      </c>
      <c r="K36" s="7">
        <f t="shared" si="0"/>
        <v>0</v>
      </c>
      <c r="L36" s="8">
        <v>12</v>
      </c>
      <c r="M36" s="3">
        <f>L36/E5</f>
        <v>1.7018044374267071E-6</v>
      </c>
      <c r="N36" s="8">
        <f>ROUNDDOWN(M36*E6,0)</f>
        <v>0</v>
      </c>
      <c r="O36" s="10">
        <v>0</v>
      </c>
      <c r="P36" s="10">
        <f t="shared" si="1"/>
        <v>0</v>
      </c>
      <c r="Q36" s="7">
        <f t="shared" si="2"/>
        <v>0</v>
      </c>
    </row>
    <row r="37" spans="2:17" x14ac:dyDescent="0.3">
      <c r="G37">
        <f>F37*E6</f>
        <v>0</v>
      </c>
      <c r="K37" s="7">
        <f t="shared" si="0"/>
        <v>0</v>
      </c>
      <c r="M37" s="3"/>
      <c r="N37" s="3"/>
      <c r="O37" s="10"/>
      <c r="P37" s="10"/>
    </row>
    <row r="38" spans="2:17" x14ac:dyDescent="0.3">
      <c r="E38" s="1">
        <f>SUM(E7:E36)</f>
        <v>7827</v>
      </c>
      <c r="G38">
        <f>SUM(G7:G36)</f>
        <v>204.33581792053963</v>
      </c>
      <c r="H38">
        <f>SUM(H8:H36)</f>
        <v>186</v>
      </c>
      <c r="I38" s="5">
        <f>SUM(I7:I36)</f>
        <v>125809339</v>
      </c>
      <c r="J38" s="7">
        <f t="shared" si="3"/>
        <v>16073.762488820748</v>
      </c>
      <c r="K38" s="7">
        <f t="shared" si="0"/>
        <v>2989719.8229206591</v>
      </c>
      <c r="M38" s="3"/>
      <c r="N38" s="3"/>
      <c r="O38" s="10"/>
      <c r="P38" s="10"/>
    </row>
  </sheetData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DB16-6D08-4B17-961D-B4525930404F}">
  <dimension ref="B4:P38"/>
  <sheetViews>
    <sheetView topLeftCell="B4" workbookViewId="0">
      <selection activeCell="C10" sqref="C10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1" width="34.21875" style="8" bestFit="1" customWidth="1"/>
    <col min="12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t="s">
        <v>3</v>
      </c>
      <c r="C5" t="s">
        <v>58</v>
      </c>
      <c r="D5" t="s">
        <v>8</v>
      </c>
      <c r="E5" s="1"/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t="s">
        <v>19</v>
      </c>
      <c r="C6" t="s">
        <v>59</v>
      </c>
      <c r="D6" t="s">
        <v>8</v>
      </c>
      <c r="E6" s="1"/>
      <c r="F6"/>
      <c r="G6"/>
      <c r="H6" s="5"/>
      <c r="I6" s="7"/>
      <c r="K6" s="8"/>
      <c r="L6" s="8"/>
      <c r="M6" s="8"/>
    </row>
    <row r="7" spans="2:16" s="2" customFormat="1" x14ac:dyDescent="0.3">
      <c r="B7" t="s">
        <v>23</v>
      </c>
      <c r="C7" t="s">
        <v>26</v>
      </c>
      <c r="D7" t="s">
        <v>22</v>
      </c>
      <c r="E7" s="1"/>
      <c r="F7" s="3" t="e">
        <f>E7/E5</f>
        <v>#DIV/0!</v>
      </c>
      <c r="G7" t="e">
        <f>ROUNDDOWN(F7*E6,0)</f>
        <v>#DIV/0!</v>
      </c>
      <c r="H7" s="5"/>
      <c r="I7" s="7" t="e">
        <f>H7/E7</f>
        <v>#DIV/0!</v>
      </c>
      <c r="J7" s="7" t="e">
        <f>I7*G7</f>
        <v>#DIV/0!</v>
      </c>
      <c r="K7" s="8"/>
      <c r="L7" s="3" t="e">
        <f>K7/E5</f>
        <v>#DIV/0!</v>
      </c>
      <c r="M7" s="8" t="e">
        <f>ROUNDDOWN(L7*E6,0)</f>
        <v>#DIV/0!</v>
      </c>
      <c r="N7" s="10"/>
      <c r="O7" s="10" t="e">
        <f>N7/K7</f>
        <v>#DIV/0!</v>
      </c>
      <c r="P7" s="7" t="e">
        <f>M7*O7</f>
        <v>#DIV/0!</v>
      </c>
    </row>
    <row r="8" spans="2:16" s="2" customFormat="1" x14ac:dyDescent="0.3">
      <c r="B8" t="s">
        <v>23</v>
      </c>
      <c r="C8" t="s">
        <v>24</v>
      </c>
      <c r="D8" t="s">
        <v>22</v>
      </c>
      <c r="E8" s="1"/>
      <c r="F8" s="3" t="e">
        <f>E8/E5</f>
        <v>#DIV/0!</v>
      </c>
      <c r="G8" t="e">
        <f>ROUNDDOWN(F8*E6,0)</f>
        <v>#DIV/0!</v>
      </c>
      <c r="H8" s="5"/>
      <c r="I8" s="7" t="e">
        <f>H8/E8</f>
        <v>#DIV/0!</v>
      </c>
      <c r="J8" s="7" t="e">
        <f t="shared" ref="J8:J38" si="0">I8*G8</f>
        <v>#DIV/0!</v>
      </c>
      <c r="K8" s="8"/>
      <c r="L8" s="3" t="e">
        <f>K8/E5</f>
        <v>#DIV/0!</v>
      </c>
      <c r="M8" s="8" t="e">
        <f>ROUNDDOWN(L8*E6,0)</f>
        <v>#DIV/0!</v>
      </c>
      <c r="N8" s="10"/>
      <c r="O8" s="10" t="e">
        <f t="shared" ref="O8:O36" si="1">N8/K8</f>
        <v>#DIV/0!</v>
      </c>
      <c r="P8" s="7" t="e">
        <f t="shared" ref="P8:P36" si="2">M8*O8</f>
        <v>#DIV/0!</v>
      </c>
    </row>
    <row r="9" spans="2:16" s="2" customFormat="1" x14ac:dyDescent="0.3">
      <c r="B9" t="s">
        <v>23</v>
      </c>
      <c r="C9" t="s">
        <v>27</v>
      </c>
      <c r="D9" t="s">
        <v>22</v>
      </c>
      <c r="E9" s="1"/>
      <c r="F9" s="3" t="e">
        <f>E9/E5</f>
        <v>#DIV/0!</v>
      </c>
      <c r="G9" t="e">
        <f>ROUNDDOWN(F9*E6,0)</f>
        <v>#DIV/0!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 t="e">
        <f>K9/E5</f>
        <v>#DIV/0!</v>
      </c>
      <c r="M9" s="8" t="e">
        <f>ROUNDDOWN(L9*E6,0)</f>
        <v>#DIV/0!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23</v>
      </c>
      <c r="C10" t="s">
        <v>28</v>
      </c>
      <c r="D10" t="s">
        <v>22</v>
      </c>
      <c r="E10" s="1"/>
      <c r="F10" s="3" t="e">
        <f>E10/E5</f>
        <v>#DIV/0!</v>
      </c>
      <c r="G10" t="e">
        <f>ROUNDDOWN(F10*E6,0)</f>
        <v>#DIV/0!</v>
      </c>
      <c r="H10" s="4"/>
      <c r="I10" s="7" t="e">
        <f t="shared" si="3"/>
        <v>#DIV/0!</v>
      </c>
      <c r="J10" s="7" t="e">
        <f t="shared" si="0"/>
        <v>#DIV/0!</v>
      </c>
      <c r="K10" s="8"/>
      <c r="L10" s="3" t="e">
        <f>K10/E5</f>
        <v>#DIV/0!</v>
      </c>
      <c r="M10" s="8" t="e">
        <f>ROUNDDOWN(L10*E6,0)</f>
        <v>#DIV/0!</v>
      </c>
      <c r="N10" s="10"/>
      <c r="O10" s="10" t="e">
        <f t="shared" si="1"/>
        <v>#DIV/0!</v>
      </c>
      <c r="P10" s="7" t="e">
        <f t="shared" si="2"/>
        <v>#DIV/0!</v>
      </c>
    </row>
    <row r="11" spans="2:16" s="2" customFormat="1" x14ac:dyDescent="0.3">
      <c r="B11" t="s">
        <v>23</v>
      </c>
      <c r="C11" t="s">
        <v>29</v>
      </c>
      <c r="D11" t="s">
        <v>22</v>
      </c>
      <c r="E11" s="1"/>
      <c r="F11" s="3" t="e">
        <f>E11/E5</f>
        <v>#DIV/0!</v>
      </c>
      <c r="G11" t="e">
        <f>ROUNDDOWN(F11*E6,0)</f>
        <v>#DIV/0!</v>
      </c>
      <c r="H11" s="6"/>
      <c r="I11" s="7" t="e">
        <f t="shared" si="3"/>
        <v>#DIV/0!</v>
      </c>
      <c r="J11" s="7" t="e">
        <f t="shared" si="0"/>
        <v>#DIV/0!</v>
      </c>
      <c r="K11" s="8"/>
      <c r="L11" s="3" t="e">
        <f>K11/E5</f>
        <v>#DIV/0!</v>
      </c>
      <c r="M11" s="8" t="e">
        <f>ROUNDDOWN(L11*E6,0)</f>
        <v>#DIV/0!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23</v>
      </c>
      <c r="C12" t="s">
        <v>5</v>
      </c>
      <c r="D12" t="s">
        <v>22</v>
      </c>
      <c r="E12" s="1"/>
      <c r="F12" s="3" t="e">
        <f>E12/E5</f>
        <v>#DIV/0!</v>
      </c>
      <c r="G12" t="e">
        <f>ROUNDDOWN(F12*E6,0)</f>
        <v>#DIV/0!</v>
      </c>
      <c r="H12" s="5"/>
      <c r="I12" s="7" t="e">
        <f t="shared" si="3"/>
        <v>#DIV/0!</v>
      </c>
      <c r="J12" s="7" t="e">
        <f t="shared" si="0"/>
        <v>#DIV/0!</v>
      </c>
      <c r="K12" s="8"/>
      <c r="L12" s="3" t="e">
        <f>K12/E5</f>
        <v>#DIV/0!</v>
      </c>
      <c r="M12" s="8" t="e">
        <f>ROUNDDOWN(L12*E6,0)</f>
        <v>#DIV/0!</v>
      </c>
      <c r="N12" s="10"/>
      <c r="O12" s="10" t="e">
        <f t="shared" si="1"/>
        <v>#DIV/0!</v>
      </c>
      <c r="P12" s="7" t="e">
        <f t="shared" si="2"/>
        <v>#DIV/0!</v>
      </c>
    </row>
    <row r="13" spans="2:16" s="2" customFormat="1" x14ac:dyDescent="0.3">
      <c r="B13" t="s">
        <v>23</v>
      </c>
      <c r="C13" t="s">
        <v>6</v>
      </c>
      <c r="D13" t="s">
        <v>22</v>
      </c>
      <c r="E13" s="1"/>
      <c r="F13" s="3" t="e">
        <f>E13/E5</f>
        <v>#DIV/0!</v>
      </c>
      <c r="G13" t="e">
        <f>ROUNDDOWN(F13*E6,0)</f>
        <v>#DIV/0!</v>
      </c>
      <c r="H13" s="5"/>
      <c r="I13" s="7" t="e">
        <f t="shared" si="3"/>
        <v>#DIV/0!</v>
      </c>
      <c r="J13" s="7" t="e">
        <f t="shared" si="0"/>
        <v>#DIV/0!</v>
      </c>
      <c r="K13" s="8"/>
      <c r="L13" s="3" t="e">
        <f>K13/E5</f>
        <v>#DIV/0!</v>
      </c>
      <c r="M13" s="8" t="e">
        <f>ROUNDDOWN(L13*E6,0)</f>
        <v>#DIV/0!</v>
      </c>
      <c r="N13" s="10"/>
      <c r="O13" s="10" t="e">
        <f t="shared" si="1"/>
        <v>#DIV/0!</v>
      </c>
      <c r="P13" s="7" t="e">
        <f t="shared" si="2"/>
        <v>#DIV/0!</v>
      </c>
    </row>
    <row r="14" spans="2:16" s="2" customFormat="1" x14ac:dyDescent="0.3">
      <c r="B14" t="s">
        <v>23</v>
      </c>
      <c r="C14" t="s">
        <v>30</v>
      </c>
      <c r="D14" t="s">
        <v>22</v>
      </c>
      <c r="E14" s="1"/>
      <c r="F14" s="3" t="e">
        <f>E14/E5</f>
        <v>#DIV/0!</v>
      </c>
      <c r="G14" t="e">
        <f>ROUNDDOWN(F14*E6,0)</f>
        <v>#DIV/0!</v>
      </c>
      <c r="H14" s="4"/>
      <c r="I14" s="7" t="e">
        <f t="shared" si="3"/>
        <v>#DIV/0!</v>
      </c>
      <c r="J14" s="7" t="e">
        <f t="shared" si="0"/>
        <v>#DIV/0!</v>
      </c>
      <c r="K14" s="8"/>
      <c r="L14" s="3" t="e">
        <f>K14/E5</f>
        <v>#DIV/0!</v>
      </c>
      <c r="M14" s="8" t="e">
        <f>ROUNDDOWN(L14*E6,0)</f>
        <v>#DIV/0!</v>
      </c>
      <c r="N14" s="10"/>
      <c r="O14" s="10" t="e">
        <f t="shared" si="1"/>
        <v>#DIV/0!</v>
      </c>
      <c r="P14" s="7" t="e">
        <f t="shared" si="2"/>
        <v>#DIV/0!</v>
      </c>
    </row>
    <row r="15" spans="2:16" s="2" customFormat="1" x14ac:dyDescent="0.3">
      <c r="B15" t="s">
        <v>23</v>
      </c>
      <c r="C15" t="s">
        <v>9</v>
      </c>
      <c r="D15" t="s">
        <v>22</v>
      </c>
      <c r="E15" s="1"/>
      <c r="F15" s="3" t="e">
        <f>E15/E5</f>
        <v>#DIV/0!</v>
      </c>
      <c r="G15" t="e">
        <f>ROUNDDOWN(F15*E6,0)</f>
        <v>#DIV/0!</v>
      </c>
      <c r="H15" s="4"/>
      <c r="I15" s="7" t="e">
        <f t="shared" si="3"/>
        <v>#DIV/0!</v>
      </c>
      <c r="J15" s="7" t="e">
        <f t="shared" si="0"/>
        <v>#DIV/0!</v>
      </c>
      <c r="K15" s="8"/>
      <c r="L15" s="3" t="e">
        <f>K15/E5</f>
        <v>#DIV/0!</v>
      </c>
      <c r="M15" s="8" t="e">
        <f>ROUNDDOWN(L15*E6,0)</f>
        <v>#DIV/0!</v>
      </c>
      <c r="N15" s="10"/>
      <c r="O15" s="10" t="e">
        <f t="shared" si="1"/>
        <v>#DIV/0!</v>
      </c>
      <c r="P15" s="7" t="e">
        <f t="shared" si="2"/>
        <v>#DIV/0!</v>
      </c>
    </row>
    <row r="16" spans="2:16" s="2" customFormat="1" x14ac:dyDescent="0.3">
      <c r="B16" t="s">
        <v>23</v>
      </c>
      <c r="C16" t="s">
        <v>31</v>
      </c>
      <c r="D16" t="s">
        <v>22</v>
      </c>
      <c r="E16" s="1"/>
      <c r="F16" s="3" t="e">
        <f>E16/E5</f>
        <v>#DIV/0!</v>
      </c>
      <c r="G16" t="e">
        <f>ROUNDDOWN(F16*E6,0)</f>
        <v>#DIV/0!</v>
      </c>
      <c r="H16" s="4"/>
      <c r="I16" s="7" t="e">
        <f t="shared" si="3"/>
        <v>#DIV/0!</v>
      </c>
      <c r="J16" s="7" t="e">
        <f t="shared" si="0"/>
        <v>#DIV/0!</v>
      </c>
      <c r="K16" s="8"/>
      <c r="L16" s="3" t="e">
        <f>K16/E5</f>
        <v>#DIV/0!</v>
      </c>
      <c r="M16" s="8" t="e">
        <f>ROUNDDOWN(L16*E6,0)</f>
        <v>#DIV/0!</v>
      </c>
      <c r="N16" s="10"/>
      <c r="O16" s="10" t="e">
        <f t="shared" si="1"/>
        <v>#DIV/0!</v>
      </c>
      <c r="P16" s="7" t="e">
        <f t="shared" si="2"/>
        <v>#DIV/0!</v>
      </c>
    </row>
    <row r="17" spans="2:16" s="2" customFormat="1" x14ac:dyDescent="0.3">
      <c r="B17" t="s">
        <v>23</v>
      </c>
      <c r="C17" t="s">
        <v>32</v>
      </c>
      <c r="D17" t="s">
        <v>22</v>
      </c>
      <c r="E17" s="1"/>
      <c r="F17" s="3" t="e">
        <f>E17/E5</f>
        <v>#DIV/0!</v>
      </c>
      <c r="G17" t="e">
        <f>ROUNDDOWN(F17*E6,0)</f>
        <v>#DIV/0!</v>
      </c>
      <c r="H17" s="4"/>
      <c r="I17" s="7" t="e">
        <f t="shared" si="3"/>
        <v>#DIV/0!</v>
      </c>
      <c r="J17" s="7" t="e">
        <f t="shared" si="0"/>
        <v>#DIV/0!</v>
      </c>
      <c r="K17" s="8"/>
      <c r="L17" s="3" t="e">
        <f>K17/E5</f>
        <v>#DIV/0!</v>
      </c>
      <c r="M17" s="8" t="e">
        <f>ROUNDDOWN(L17*E6,0)</f>
        <v>#DIV/0!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23</v>
      </c>
      <c r="C18" t="s">
        <v>33</v>
      </c>
      <c r="D18" t="s">
        <v>22</v>
      </c>
      <c r="E18" s="1"/>
      <c r="F18" s="3" t="e">
        <f>E18/E5</f>
        <v>#DIV/0!</v>
      </c>
      <c r="G18" t="e">
        <f>ROUNDDOWN(F18*E6,0)</f>
        <v>#DIV/0!</v>
      </c>
      <c r="H18" s="4"/>
      <c r="I18" s="7" t="e">
        <f t="shared" si="3"/>
        <v>#DIV/0!</v>
      </c>
      <c r="J18" s="7" t="e">
        <f t="shared" si="0"/>
        <v>#DIV/0!</v>
      </c>
      <c r="K18" s="8"/>
      <c r="L18" s="3" t="e">
        <f>K18/E5</f>
        <v>#DIV/0!</v>
      </c>
      <c r="M18" s="8" t="e">
        <f>ROUNDDOWN(L18*E6,0)</f>
        <v>#DIV/0!</v>
      </c>
      <c r="N18" s="10"/>
      <c r="O18" s="10" t="e">
        <f t="shared" si="1"/>
        <v>#DIV/0!</v>
      </c>
      <c r="P18" s="7" t="e">
        <f t="shared" si="2"/>
        <v>#DIV/0!</v>
      </c>
    </row>
    <row r="19" spans="2:16" s="2" customFormat="1" x14ac:dyDescent="0.3">
      <c r="B19" t="s">
        <v>23</v>
      </c>
      <c r="C19" t="s">
        <v>34</v>
      </c>
      <c r="D19" t="s">
        <v>22</v>
      </c>
      <c r="E19" s="1"/>
      <c r="F19" s="3" t="e">
        <f>E19/E5</f>
        <v>#DIV/0!</v>
      </c>
      <c r="G19" t="e">
        <f>ROUNDDOWN(F19*E6,0)</f>
        <v>#DIV/0!</v>
      </c>
      <c r="H19" s="4"/>
      <c r="I19" s="7" t="e">
        <f t="shared" si="3"/>
        <v>#DIV/0!</v>
      </c>
      <c r="J19" s="7" t="e">
        <f t="shared" si="0"/>
        <v>#DIV/0!</v>
      </c>
      <c r="K19" s="8"/>
      <c r="L19" s="3" t="e">
        <f>K19/E5</f>
        <v>#DIV/0!</v>
      </c>
      <c r="M19" s="8" t="e">
        <f>ROUNDDOWN(L19*E6,0)</f>
        <v>#DIV/0!</v>
      </c>
      <c r="N19" s="10"/>
      <c r="O19" s="10" t="e">
        <f t="shared" si="1"/>
        <v>#DIV/0!</v>
      </c>
      <c r="P19" s="7" t="e">
        <f t="shared" si="2"/>
        <v>#DIV/0!</v>
      </c>
    </row>
    <row r="20" spans="2:16" s="2" customFormat="1" x14ac:dyDescent="0.3">
      <c r="B20" t="s">
        <v>23</v>
      </c>
      <c r="C20" t="s">
        <v>35</v>
      </c>
      <c r="D20" t="s">
        <v>22</v>
      </c>
      <c r="E20" s="1"/>
      <c r="F20" s="3" t="e">
        <f>E20/E5</f>
        <v>#DIV/0!</v>
      </c>
      <c r="G20" t="e">
        <f>ROUNDDOWN(F20*E6,0)</f>
        <v>#DIV/0!</v>
      </c>
      <c r="H20" s="4"/>
      <c r="I20" s="7" t="e">
        <f t="shared" si="3"/>
        <v>#DIV/0!</v>
      </c>
      <c r="J20" s="7" t="e">
        <f t="shared" si="0"/>
        <v>#DIV/0!</v>
      </c>
      <c r="K20" s="8"/>
      <c r="L20" s="3" t="e">
        <f>K20/E5</f>
        <v>#DIV/0!</v>
      </c>
      <c r="M20" s="8" t="e">
        <f>ROUNDDOWN(L20*E6,0)</f>
        <v>#DIV/0!</v>
      </c>
      <c r="N20" s="10"/>
      <c r="O20" s="10" t="e">
        <f t="shared" si="1"/>
        <v>#DIV/0!</v>
      </c>
      <c r="P20" s="7" t="e">
        <f t="shared" si="2"/>
        <v>#DIV/0!</v>
      </c>
    </row>
    <row r="21" spans="2:16" s="2" customFormat="1" x14ac:dyDescent="0.3">
      <c r="B21" t="s">
        <v>23</v>
      </c>
      <c r="C21" t="s">
        <v>36</v>
      </c>
      <c r="D21" t="s">
        <v>22</v>
      </c>
      <c r="E21" s="1"/>
      <c r="F21" s="3" t="e">
        <f>E21/E5</f>
        <v>#DIV/0!</v>
      </c>
      <c r="G21" t="e">
        <f>ROUNDDOWN(F21*E6,0)</f>
        <v>#DIV/0!</v>
      </c>
      <c r="H21" s="4"/>
      <c r="I21" s="7" t="e">
        <f t="shared" si="3"/>
        <v>#DIV/0!</v>
      </c>
      <c r="J21" s="7" t="e">
        <f t="shared" si="0"/>
        <v>#DIV/0!</v>
      </c>
      <c r="K21" s="8"/>
      <c r="L21" s="3" t="e">
        <f>K21/E5</f>
        <v>#DIV/0!</v>
      </c>
      <c r="M21" s="8" t="e">
        <f>ROUNDDOWN(L21*E6,0)</f>
        <v>#DIV/0!</v>
      </c>
      <c r="N21" s="10"/>
      <c r="O21" s="10" t="e">
        <f t="shared" si="1"/>
        <v>#DIV/0!</v>
      </c>
      <c r="P21" s="7" t="e">
        <f t="shared" si="2"/>
        <v>#DIV/0!</v>
      </c>
    </row>
    <row r="22" spans="2:16" s="2" customFormat="1" x14ac:dyDescent="0.3">
      <c r="B22" t="s">
        <v>23</v>
      </c>
      <c r="C22" t="s">
        <v>10</v>
      </c>
      <c r="D22" t="s">
        <v>22</v>
      </c>
      <c r="E22" s="1"/>
      <c r="F22" s="3" t="e">
        <f>E22/E5</f>
        <v>#DIV/0!</v>
      </c>
      <c r="G22" t="e">
        <f>ROUNDDOWN(F22*E6,0)</f>
        <v>#DIV/0!</v>
      </c>
      <c r="H22" s="4"/>
      <c r="I22" s="7" t="e">
        <f t="shared" si="3"/>
        <v>#DIV/0!</v>
      </c>
      <c r="J22" s="7" t="e">
        <f t="shared" si="0"/>
        <v>#DIV/0!</v>
      </c>
      <c r="K22" s="8"/>
      <c r="L22" s="3" t="e">
        <f>K22/E5</f>
        <v>#DIV/0!</v>
      </c>
      <c r="M22" s="8" t="e">
        <f>ROUNDDOWN(L22*E6,0)</f>
        <v>#DIV/0!</v>
      </c>
      <c r="N22" s="10"/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t="s">
        <v>23</v>
      </c>
      <c r="C23" t="s">
        <v>37</v>
      </c>
      <c r="D23" t="s">
        <v>22</v>
      </c>
      <c r="E23" s="1"/>
      <c r="F23" s="3" t="e">
        <f>E23/E5</f>
        <v>#DIV/0!</v>
      </c>
      <c r="G23" t="e">
        <f>ROUNDDOWN(F23*E6,0)</f>
        <v>#DIV/0!</v>
      </c>
      <c r="H23" s="4"/>
      <c r="I23" s="7" t="e">
        <f t="shared" si="3"/>
        <v>#DIV/0!</v>
      </c>
      <c r="J23" s="7" t="e">
        <f t="shared" si="0"/>
        <v>#DIV/0!</v>
      </c>
      <c r="K23" s="8"/>
      <c r="L23" s="3" t="e">
        <f>K23/E5</f>
        <v>#DIV/0!</v>
      </c>
      <c r="M23" s="8" t="e">
        <f>ROUNDDOWN(L23*E6,0)</f>
        <v>#DIV/0!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23</v>
      </c>
      <c r="C24" t="s">
        <v>38</v>
      </c>
      <c r="D24" t="s">
        <v>22</v>
      </c>
      <c r="E24" s="1"/>
      <c r="F24" s="3" t="e">
        <f>E24/E5</f>
        <v>#DIV/0!</v>
      </c>
      <c r="G24" t="e">
        <f>ROUNDDOWN(F24*E6,0)</f>
        <v>#DIV/0!</v>
      </c>
      <c r="H24" s="4"/>
      <c r="I24" s="7" t="e">
        <f t="shared" si="3"/>
        <v>#DIV/0!</v>
      </c>
      <c r="J24" s="7" t="e">
        <f t="shared" si="0"/>
        <v>#DIV/0!</v>
      </c>
      <c r="K24" s="8"/>
      <c r="L24" s="3" t="e">
        <f>K24/E5</f>
        <v>#DIV/0!</v>
      </c>
      <c r="M24" s="8" t="e">
        <f>ROUNDDOWN(L24*E6,0)</f>
        <v>#DIV/0!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23</v>
      </c>
      <c r="C25" t="s">
        <v>39</v>
      </c>
      <c r="D25" t="s">
        <v>22</v>
      </c>
      <c r="E25" s="1"/>
      <c r="F25" s="3" t="e">
        <f>E25/E5</f>
        <v>#DIV/0!</v>
      </c>
      <c r="G25" t="e">
        <f>ROUNDDOWN(F25*E6,0)</f>
        <v>#DIV/0!</v>
      </c>
      <c r="H25" s="4"/>
      <c r="I25" s="7" t="e">
        <f t="shared" si="3"/>
        <v>#DIV/0!</v>
      </c>
      <c r="J25" s="7" t="e">
        <f t="shared" si="0"/>
        <v>#DIV/0!</v>
      </c>
      <c r="K25" s="8"/>
      <c r="L25" s="3" t="e">
        <f>K25/E5</f>
        <v>#DIV/0!</v>
      </c>
      <c r="M25" s="8" t="e">
        <f>ROUNDDOWN(L25*E6,0)</f>
        <v>#DIV/0!</v>
      </c>
      <c r="N25" s="10"/>
      <c r="O25" s="10" t="e">
        <f t="shared" si="1"/>
        <v>#DIV/0!</v>
      </c>
      <c r="P25" s="7" t="e">
        <f t="shared" si="2"/>
        <v>#DIV/0!</v>
      </c>
    </row>
    <row r="26" spans="2:16" s="2" customFormat="1" x14ac:dyDescent="0.3">
      <c r="B26" t="s">
        <v>23</v>
      </c>
      <c r="C26" t="s">
        <v>40</v>
      </c>
      <c r="D26" t="s">
        <v>22</v>
      </c>
      <c r="E26" s="1"/>
      <c r="F26" s="3" t="e">
        <f>E26/E5</f>
        <v>#DIV/0!</v>
      </c>
      <c r="G26" t="e">
        <f>ROUNDDOWN(F26*E6,0)</f>
        <v>#DIV/0!</v>
      </c>
      <c r="H26" s="4"/>
      <c r="I26" s="7" t="e">
        <f t="shared" si="3"/>
        <v>#DIV/0!</v>
      </c>
      <c r="J26" s="7" t="e">
        <f t="shared" si="0"/>
        <v>#DIV/0!</v>
      </c>
      <c r="K26" s="8"/>
      <c r="L26" s="3" t="e">
        <f>K26/E5</f>
        <v>#DIV/0!</v>
      </c>
      <c r="M26" s="8" t="e">
        <f>ROUNDDOWN(L26*E6,0)</f>
        <v>#DIV/0!</v>
      </c>
      <c r="N26" s="4"/>
      <c r="O26" s="10" t="e">
        <f t="shared" si="1"/>
        <v>#DIV/0!</v>
      </c>
      <c r="P26" s="7" t="e">
        <f t="shared" si="2"/>
        <v>#DIV/0!</v>
      </c>
    </row>
    <row r="27" spans="2:16" s="2" customFormat="1" x14ac:dyDescent="0.3">
      <c r="B27" t="s">
        <v>23</v>
      </c>
      <c r="C27" t="s">
        <v>41</v>
      </c>
      <c r="D27" t="s">
        <v>22</v>
      </c>
      <c r="E27" s="1"/>
      <c r="F27" s="3" t="e">
        <f>E27/E5</f>
        <v>#DIV/0!</v>
      </c>
      <c r="G27" t="e">
        <f>ROUNDDOWN(F27*E6,0)</f>
        <v>#DIV/0!</v>
      </c>
      <c r="H27" s="4"/>
      <c r="I27" s="7" t="e">
        <f t="shared" si="3"/>
        <v>#DIV/0!</v>
      </c>
      <c r="J27" s="7" t="e">
        <f t="shared" si="0"/>
        <v>#DIV/0!</v>
      </c>
      <c r="K27" s="8"/>
      <c r="L27" s="3" t="e">
        <f>K27/E5</f>
        <v>#DIV/0!</v>
      </c>
      <c r="M27" s="8" t="e">
        <f>ROUNDDOWN(L27*E6,0)</f>
        <v>#DIV/0!</v>
      </c>
      <c r="N27" s="4"/>
      <c r="O27" s="10" t="e">
        <f>N27/K27</f>
        <v>#DIV/0!</v>
      </c>
      <c r="P27" s="7" t="e">
        <f t="shared" si="2"/>
        <v>#DIV/0!</v>
      </c>
    </row>
    <row r="28" spans="2:16" s="2" customFormat="1" x14ac:dyDescent="0.3">
      <c r="B28" t="s">
        <v>23</v>
      </c>
      <c r="C28" t="s">
        <v>42</v>
      </c>
      <c r="D28" t="s">
        <v>22</v>
      </c>
      <c r="E28" s="1"/>
      <c r="F28" s="3" t="e">
        <f>E28/E5</f>
        <v>#DIV/0!</v>
      </c>
      <c r="G28" t="e">
        <f>ROUNDDOWN(F28*E6,0)</f>
        <v>#DIV/0!</v>
      </c>
      <c r="H28" s="4"/>
      <c r="I28" s="7" t="e">
        <f t="shared" si="3"/>
        <v>#DIV/0!</v>
      </c>
      <c r="J28" s="7" t="e">
        <f>I28*G28</f>
        <v>#DIV/0!</v>
      </c>
      <c r="K28" s="8"/>
      <c r="L28" s="3" t="e">
        <f>K28/E5</f>
        <v>#DIV/0!</v>
      </c>
      <c r="M28" s="8" t="e">
        <f>ROUNDDOWN(L28*E6,0)</f>
        <v>#DIV/0!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t="s">
        <v>23</v>
      </c>
      <c r="C29" t="s">
        <v>11</v>
      </c>
      <c r="D29" t="s">
        <v>22</v>
      </c>
      <c r="E29" s="1"/>
      <c r="F29" s="3" t="e">
        <f>E29/E5</f>
        <v>#DIV/0!</v>
      </c>
      <c r="G29" t="e">
        <f>ROUNDDOWN(F29*E6,0)</f>
        <v>#DIV/0!</v>
      </c>
      <c r="H29" s="4"/>
      <c r="I29" s="7" t="e">
        <f t="shared" si="3"/>
        <v>#DIV/0!</v>
      </c>
      <c r="J29" s="7" t="e">
        <f t="shared" si="0"/>
        <v>#DIV/0!</v>
      </c>
      <c r="K29" s="8"/>
      <c r="L29" s="3" t="e">
        <f>K29/E5</f>
        <v>#DIV/0!</v>
      </c>
      <c r="M29" s="8" t="e">
        <f>ROUNDDOWN(L29*E6,0)</f>
        <v>#DIV/0!</v>
      </c>
      <c r="N29" s="4"/>
      <c r="O29" s="10" t="e">
        <f t="shared" si="1"/>
        <v>#DIV/0!</v>
      </c>
      <c r="P29" s="7" t="e">
        <f t="shared" si="2"/>
        <v>#DIV/0!</v>
      </c>
    </row>
    <row r="30" spans="2:16" s="2" customFormat="1" x14ac:dyDescent="0.3">
      <c r="B30" t="s">
        <v>23</v>
      </c>
      <c r="C30" t="s">
        <v>12</v>
      </c>
      <c r="D30" t="s">
        <v>22</v>
      </c>
      <c r="E30" s="1"/>
      <c r="F30" s="3" t="e">
        <f>E30/E5</f>
        <v>#DIV/0!</v>
      </c>
      <c r="G30" t="e">
        <f>ROUNDDOWN(F30*E6,0)</f>
        <v>#DIV/0!</v>
      </c>
      <c r="H30" s="4"/>
      <c r="I30" s="7" t="e">
        <f t="shared" si="3"/>
        <v>#DIV/0!</v>
      </c>
      <c r="J30" s="7" t="e">
        <f t="shared" si="0"/>
        <v>#DIV/0!</v>
      </c>
      <c r="K30" s="8"/>
      <c r="L30" s="3" t="e">
        <f>K30/E5</f>
        <v>#DIV/0!</v>
      </c>
      <c r="M30" s="8" t="e">
        <f>ROUNDDOWN(L30*E6,0)</f>
        <v>#DIV/0!</v>
      </c>
      <c r="N30" s="4"/>
      <c r="O30" s="10" t="e">
        <f t="shared" si="1"/>
        <v>#DIV/0!</v>
      </c>
      <c r="P30" s="7" t="e">
        <f t="shared" si="2"/>
        <v>#DIV/0!</v>
      </c>
    </row>
    <row r="31" spans="2:16" s="2" customFormat="1" x14ac:dyDescent="0.3">
      <c r="B31" t="s">
        <v>23</v>
      </c>
      <c r="C31" t="s">
        <v>13</v>
      </c>
      <c r="D31" t="s">
        <v>22</v>
      </c>
      <c r="E31" s="1"/>
      <c r="F31" s="3" t="e">
        <f>E31/E5</f>
        <v>#DIV/0!</v>
      </c>
      <c r="G31" t="e">
        <f>ROUNDDOWN(F31*E6,0)</f>
        <v>#DIV/0!</v>
      </c>
      <c r="H31" s="4"/>
      <c r="I31" s="7" t="e">
        <f>H31/E31</f>
        <v>#DIV/0!</v>
      </c>
      <c r="J31" s="7" t="e">
        <f t="shared" si="0"/>
        <v>#DIV/0!</v>
      </c>
      <c r="K31" s="8"/>
      <c r="L31" s="3" t="e">
        <f>K31/E5</f>
        <v>#DIV/0!</v>
      </c>
      <c r="M31" s="8" t="e">
        <f>ROUNDDOWN(L31*E6,0)</f>
        <v>#DIV/0!</v>
      </c>
      <c r="N31" s="10"/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t="s">
        <v>23</v>
      </c>
      <c r="C32" t="s">
        <v>43</v>
      </c>
      <c r="D32" t="s">
        <v>22</v>
      </c>
      <c r="E32" s="1"/>
      <c r="F32" s="3" t="e">
        <f>E32/E5</f>
        <v>#DIV/0!</v>
      </c>
      <c r="G32" t="e">
        <f>ROUNDDOWN(F32*E6,0)</f>
        <v>#DIV/0!</v>
      </c>
      <c r="H32" s="4"/>
      <c r="I32" s="7" t="e">
        <f t="shared" si="3"/>
        <v>#DIV/0!</v>
      </c>
      <c r="J32" s="7" t="e">
        <f t="shared" si="0"/>
        <v>#DIV/0!</v>
      </c>
      <c r="K32" s="8"/>
      <c r="L32" s="3" t="e">
        <f>K32/E5</f>
        <v>#DIV/0!</v>
      </c>
      <c r="M32" s="8" t="e">
        <f>ROUNDDOWN(L32*E6,0)</f>
        <v>#DIV/0!</v>
      </c>
      <c r="N32" s="4"/>
      <c r="O32" s="10" t="e">
        <f t="shared" si="1"/>
        <v>#DIV/0!</v>
      </c>
      <c r="P32" s="7" t="e">
        <f t="shared" si="2"/>
        <v>#DIV/0!</v>
      </c>
    </row>
    <row r="33" spans="2:16" s="2" customFormat="1" x14ac:dyDescent="0.3">
      <c r="B33" t="s">
        <v>23</v>
      </c>
      <c r="C33" t="s">
        <v>44</v>
      </c>
      <c r="D33" t="s">
        <v>22</v>
      </c>
      <c r="E33" s="1"/>
      <c r="F33" s="3" t="e">
        <f>E33/E5</f>
        <v>#DIV/0!</v>
      </c>
      <c r="G33" t="e">
        <f>ROUNDDOWN(F33*E6,0)</f>
        <v>#DIV/0!</v>
      </c>
      <c r="H33" s="4"/>
      <c r="I33" s="7" t="e">
        <f t="shared" si="3"/>
        <v>#DIV/0!</v>
      </c>
      <c r="J33" s="7" t="e">
        <f t="shared" si="0"/>
        <v>#DIV/0!</v>
      </c>
      <c r="K33" s="8"/>
      <c r="L33" s="3" t="e">
        <f>K33/E5</f>
        <v>#DIV/0!</v>
      </c>
      <c r="M33" s="8" t="e">
        <f>ROUNDDOWN(L33*E6,0)</f>
        <v>#DIV/0!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23</v>
      </c>
      <c r="C34" t="s">
        <v>14</v>
      </c>
      <c r="D34" t="s">
        <v>22</v>
      </c>
      <c r="E34" s="1"/>
      <c r="F34" s="3" t="e">
        <f>E34/E5</f>
        <v>#DIV/0!</v>
      </c>
      <c r="G34" t="e">
        <f>ROUNDDOWN(F34*E6,0)</f>
        <v>#DIV/0!</v>
      </c>
      <c r="H34" s="4"/>
      <c r="I34" s="7" t="e">
        <f t="shared" si="3"/>
        <v>#DIV/0!</v>
      </c>
      <c r="J34" s="7" t="e">
        <f t="shared" si="0"/>
        <v>#DIV/0!</v>
      </c>
      <c r="K34" s="8"/>
      <c r="L34" s="3" t="e">
        <f>K34/E5</f>
        <v>#DIV/0!</v>
      </c>
      <c r="M34" s="8" t="e">
        <f>ROUNDDOWN(L34*E6,0)</f>
        <v>#DIV/0!</v>
      </c>
      <c r="N34" s="4"/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t="s">
        <v>23</v>
      </c>
      <c r="C35" t="s">
        <v>45</v>
      </c>
      <c r="D35" t="s">
        <v>22</v>
      </c>
      <c r="E35" s="1"/>
      <c r="F35" s="3" t="e">
        <f>E35/E5</f>
        <v>#DIV/0!</v>
      </c>
      <c r="G35" t="e">
        <f>ROUNDDOWN(F35*E6,0)</f>
        <v>#DIV/0!</v>
      </c>
      <c r="H35" s="4"/>
      <c r="I35" s="7" t="e">
        <f t="shared" si="3"/>
        <v>#DIV/0!</v>
      </c>
      <c r="J35" s="7" t="e">
        <f t="shared" si="0"/>
        <v>#DIV/0!</v>
      </c>
      <c r="K35" s="8"/>
      <c r="L35" s="3" t="e">
        <f>K35/E5</f>
        <v>#DIV/0!</v>
      </c>
      <c r="M35" s="8" t="e">
        <f>ROUNDDOWN(L35*E6,0)</f>
        <v>#DIV/0!</v>
      </c>
      <c r="N35" s="4"/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t="s">
        <v>23</v>
      </c>
      <c r="C36" t="s">
        <v>15</v>
      </c>
      <c r="D36" t="s">
        <v>22</v>
      </c>
      <c r="E36" s="1"/>
      <c r="F36" s="3" t="e">
        <f>E36/E5</f>
        <v>#DIV/0!</v>
      </c>
      <c r="G36" t="e">
        <f>ROUNDDOWN(F36*E6,0)</f>
        <v>#DIV/0!</v>
      </c>
      <c r="H36" s="4"/>
      <c r="I36" s="7" t="e">
        <f t="shared" si="3"/>
        <v>#DIV/0!</v>
      </c>
      <c r="J36" s="7" t="e">
        <f t="shared" si="0"/>
        <v>#DIV/0!</v>
      </c>
      <c r="K36" s="8"/>
      <c r="L36" s="3" t="e">
        <f>K36/E5</f>
        <v>#DIV/0!</v>
      </c>
      <c r="M36" s="8" t="e">
        <f>ROUNDDOWN(L36*E6,0)</f>
        <v>#DIV/0!</v>
      </c>
      <c r="N36" s="10"/>
      <c r="O36" s="10" t="e">
        <f t="shared" si="1"/>
        <v>#DIV/0!</v>
      </c>
      <c r="P36" s="7" t="e">
        <f t="shared" si="2"/>
        <v>#DIV/0!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0</v>
      </c>
      <c r="G38" t="e">
        <f>SUM(G8:G36)</f>
        <v>#DIV/0!</v>
      </c>
      <c r="I38" s="7" t="e">
        <f t="shared" si="3"/>
        <v>#DIV/0!</v>
      </c>
      <c r="J38" s="7" t="e">
        <f t="shared" si="0"/>
        <v>#DIV/0!</v>
      </c>
      <c r="L38" s="3"/>
      <c r="M38" s="3"/>
      <c r="N38" s="10"/>
      <c r="O38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9F96-9BA7-4C55-8385-61C4397D637C}">
  <dimension ref="B4:P38"/>
  <sheetViews>
    <sheetView topLeftCell="A4" workbookViewId="0">
      <selection activeCell="C11" sqref="C11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1" width="34.21875" style="8" bestFit="1" customWidth="1"/>
    <col min="12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7</v>
      </c>
      <c r="E4" t="s">
        <v>2</v>
      </c>
      <c r="F4" t="s">
        <v>17</v>
      </c>
      <c r="G4" t="s">
        <v>21</v>
      </c>
      <c r="H4" s="5" t="s">
        <v>25</v>
      </c>
      <c r="I4" s="7" t="s">
        <v>46</v>
      </c>
      <c r="J4" t="s">
        <v>47</v>
      </c>
      <c r="K4" s="8" t="s">
        <v>49</v>
      </c>
      <c r="L4" s="8" t="s">
        <v>51</v>
      </c>
      <c r="M4" s="8" t="s">
        <v>52</v>
      </c>
      <c r="N4" t="s">
        <v>50</v>
      </c>
      <c r="O4" s="8" t="s">
        <v>54</v>
      </c>
      <c r="P4" s="8" t="s">
        <v>53</v>
      </c>
    </row>
    <row r="5" spans="2:16" x14ac:dyDescent="0.3">
      <c r="B5" t="s">
        <v>3</v>
      </c>
      <c r="C5" t="s">
        <v>58</v>
      </c>
      <c r="D5" t="s">
        <v>8</v>
      </c>
      <c r="E5" s="1"/>
      <c r="F5" t="s">
        <v>16</v>
      </c>
      <c r="G5" t="s">
        <v>20</v>
      </c>
      <c r="J5" t="s">
        <v>48</v>
      </c>
      <c r="P5" t="s">
        <v>55</v>
      </c>
    </row>
    <row r="6" spans="2:16" s="2" customFormat="1" x14ac:dyDescent="0.3">
      <c r="B6" t="s">
        <v>19</v>
      </c>
      <c r="C6" t="s">
        <v>59</v>
      </c>
      <c r="D6" t="s">
        <v>8</v>
      </c>
      <c r="E6" s="1"/>
      <c r="F6"/>
      <c r="G6"/>
      <c r="H6" s="5"/>
      <c r="I6" s="7"/>
      <c r="K6" s="8"/>
      <c r="L6" s="8"/>
      <c r="M6" s="8"/>
    </row>
    <row r="7" spans="2:16" s="2" customFormat="1" x14ac:dyDescent="0.3">
      <c r="B7" t="s">
        <v>23</v>
      </c>
      <c r="C7" t="s">
        <v>26</v>
      </c>
      <c r="D7" t="s">
        <v>22</v>
      </c>
      <c r="E7" s="1"/>
      <c r="F7" s="3" t="e">
        <f>E7/E5</f>
        <v>#DIV/0!</v>
      </c>
      <c r="G7" t="e">
        <f>ROUNDDOWN(F7*E6,0)</f>
        <v>#DIV/0!</v>
      </c>
      <c r="H7" s="5"/>
      <c r="I7" s="7" t="e">
        <f>H7/E7</f>
        <v>#DIV/0!</v>
      </c>
      <c r="J7" s="7" t="e">
        <f>I7*G7</f>
        <v>#DIV/0!</v>
      </c>
      <c r="K7" s="8"/>
      <c r="L7" s="3" t="e">
        <f>K7/E5</f>
        <v>#DIV/0!</v>
      </c>
      <c r="M7" s="8" t="e">
        <f>ROUNDDOWN(L7*E6,0)</f>
        <v>#DIV/0!</v>
      </c>
      <c r="N7" s="10"/>
      <c r="O7" s="10" t="e">
        <f>N7/K7</f>
        <v>#DIV/0!</v>
      </c>
      <c r="P7" s="7" t="e">
        <f>M7*O7</f>
        <v>#DIV/0!</v>
      </c>
    </row>
    <row r="8" spans="2:16" s="2" customFormat="1" x14ac:dyDescent="0.3">
      <c r="B8" t="s">
        <v>23</v>
      </c>
      <c r="C8" t="s">
        <v>24</v>
      </c>
      <c r="D8" t="s">
        <v>22</v>
      </c>
      <c r="E8" s="1"/>
      <c r="F8" s="3" t="e">
        <f>E8/E5</f>
        <v>#DIV/0!</v>
      </c>
      <c r="G8" t="e">
        <f>ROUNDDOWN(F8*E6,0)</f>
        <v>#DIV/0!</v>
      </c>
      <c r="H8" s="5"/>
      <c r="I8" s="7" t="e">
        <f>H8/E8</f>
        <v>#DIV/0!</v>
      </c>
      <c r="J8" s="7" t="e">
        <f t="shared" ref="J8:J38" si="0">I8*G8</f>
        <v>#DIV/0!</v>
      </c>
      <c r="K8" s="8"/>
      <c r="L8" s="3" t="e">
        <f>K8/E5</f>
        <v>#DIV/0!</v>
      </c>
      <c r="M8" s="8" t="e">
        <f>ROUNDDOWN(L8*E6,0)</f>
        <v>#DIV/0!</v>
      </c>
      <c r="N8" s="10"/>
      <c r="O8" s="10" t="e">
        <f t="shared" ref="O8:O36" si="1">N8/K8</f>
        <v>#DIV/0!</v>
      </c>
      <c r="P8" s="7" t="e">
        <f t="shared" ref="P8:P36" si="2">M8*O8</f>
        <v>#DIV/0!</v>
      </c>
    </row>
    <row r="9" spans="2:16" s="2" customFormat="1" x14ac:dyDescent="0.3">
      <c r="B9" t="s">
        <v>23</v>
      </c>
      <c r="C9" t="s">
        <v>27</v>
      </c>
      <c r="D9" t="s">
        <v>22</v>
      </c>
      <c r="E9" s="1"/>
      <c r="F9" s="3" t="e">
        <f>E9/E5</f>
        <v>#DIV/0!</v>
      </c>
      <c r="G9" t="e">
        <f>ROUNDDOWN(F9*E6,0)</f>
        <v>#DIV/0!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 t="e">
        <f>K9/E5</f>
        <v>#DIV/0!</v>
      </c>
      <c r="M9" s="8" t="e">
        <f>ROUNDDOWN(L9*E6,0)</f>
        <v>#DIV/0!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23</v>
      </c>
      <c r="C10" t="s">
        <v>28</v>
      </c>
      <c r="D10" t="s">
        <v>22</v>
      </c>
      <c r="E10" s="1"/>
      <c r="F10" s="3" t="e">
        <f>E10/E5</f>
        <v>#DIV/0!</v>
      </c>
      <c r="G10" t="e">
        <f>ROUNDDOWN(F10*E6,0)</f>
        <v>#DIV/0!</v>
      </c>
      <c r="H10" s="4"/>
      <c r="I10" s="7" t="e">
        <f t="shared" si="3"/>
        <v>#DIV/0!</v>
      </c>
      <c r="J10" s="7" t="e">
        <f t="shared" si="0"/>
        <v>#DIV/0!</v>
      </c>
      <c r="K10" s="8"/>
      <c r="L10" s="3" t="e">
        <f>K10/E5</f>
        <v>#DIV/0!</v>
      </c>
      <c r="M10" s="8" t="e">
        <f>ROUNDDOWN(L10*E6,0)</f>
        <v>#DIV/0!</v>
      </c>
      <c r="N10" s="10"/>
      <c r="O10" s="10" t="e">
        <f t="shared" si="1"/>
        <v>#DIV/0!</v>
      </c>
      <c r="P10" s="7" t="e">
        <f t="shared" si="2"/>
        <v>#DIV/0!</v>
      </c>
    </row>
    <row r="11" spans="2:16" s="2" customFormat="1" x14ac:dyDescent="0.3">
      <c r="B11" t="s">
        <v>23</v>
      </c>
      <c r="C11" t="s">
        <v>29</v>
      </c>
      <c r="D11" t="s">
        <v>22</v>
      </c>
      <c r="E11" s="1"/>
      <c r="F11" s="3" t="e">
        <f>E11/E5</f>
        <v>#DIV/0!</v>
      </c>
      <c r="G11" t="e">
        <f>ROUNDDOWN(F11*E6,0)</f>
        <v>#DIV/0!</v>
      </c>
      <c r="H11" s="6"/>
      <c r="I11" s="7" t="e">
        <f t="shared" si="3"/>
        <v>#DIV/0!</v>
      </c>
      <c r="J11" s="7" t="e">
        <f t="shared" si="0"/>
        <v>#DIV/0!</v>
      </c>
      <c r="K11" s="8"/>
      <c r="L11" s="3" t="e">
        <f>K11/E5</f>
        <v>#DIV/0!</v>
      </c>
      <c r="M11" s="8" t="e">
        <f>ROUNDDOWN(L11*E6,0)</f>
        <v>#DIV/0!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23</v>
      </c>
      <c r="C12" t="s">
        <v>5</v>
      </c>
      <c r="D12" t="s">
        <v>22</v>
      </c>
      <c r="E12" s="1"/>
      <c r="F12" s="3" t="e">
        <f>E12/E5</f>
        <v>#DIV/0!</v>
      </c>
      <c r="G12" t="e">
        <f>ROUNDDOWN(F12*E6,0)</f>
        <v>#DIV/0!</v>
      </c>
      <c r="H12" s="5"/>
      <c r="I12" s="7" t="e">
        <f t="shared" si="3"/>
        <v>#DIV/0!</v>
      </c>
      <c r="J12" s="7" t="e">
        <f t="shared" si="0"/>
        <v>#DIV/0!</v>
      </c>
      <c r="K12" s="8"/>
      <c r="L12" s="3" t="e">
        <f>K12/E5</f>
        <v>#DIV/0!</v>
      </c>
      <c r="M12" s="8" t="e">
        <f>ROUNDDOWN(L12*E6,0)</f>
        <v>#DIV/0!</v>
      </c>
      <c r="N12" s="10"/>
      <c r="O12" s="10" t="e">
        <f t="shared" si="1"/>
        <v>#DIV/0!</v>
      </c>
      <c r="P12" s="7" t="e">
        <f t="shared" si="2"/>
        <v>#DIV/0!</v>
      </c>
    </row>
    <row r="13" spans="2:16" s="2" customFormat="1" x14ac:dyDescent="0.3">
      <c r="B13" t="s">
        <v>23</v>
      </c>
      <c r="C13" t="s">
        <v>6</v>
      </c>
      <c r="D13" t="s">
        <v>22</v>
      </c>
      <c r="E13" s="1"/>
      <c r="F13" s="3" t="e">
        <f>E13/E5</f>
        <v>#DIV/0!</v>
      </c>
      <c r="G13" t="e">
        <f>ROUNDDOWN(F13*E6,0)</f>
        <v>#DIV/0!</v>
      </c>
      <c r="H13" s="5"/>
      <c r="I13" s="7" t="e">
        <f t="shared" si="3"/>
        <v>#DIV/0!</v>
      </c>
      <c r="J13" s="7" t="e">
        <f t="shared" si="0"/>
        <v>#DIV/0!</v>
      </c>
      <c r="K13" s="8"/>
      <c r="L13" s="3" t="e">
        <f>K13/E5</f>
        <v>#DIV/0!</v>
      </c>
      <c r="M13" s="8" t="e">
        <f>ROUNDDOWN(L13*E6,0)</f>
        <v>#DIV/0!</v>
      </c>
      <c r="N13" s="10"/>
      <c r="O13" s="10" t="e">
        <f t="shared" si="1"/>
        <v>#DIV/0!</v>
      </c>
      <c r="P13" s="7" t="e">
        <f t="shared" si="2"/>
        <v>#DIV/0!</v>
      </c>
    </row>
    <row r="14" spans="2:16" s="2" customFormat="1" x14ac:dyDescent="0.3">
      <c r="B14" t="s">
        <v>23</v>
      </c>
      <c r="C14" t="s">
        <v>30</v>
      </c>
      <c r="D14" t="s">
        <v>22</v>
      </c>
      <c r="E14" s="1"/>
      <c r="F14" s="3" t="e">
        <f>E14/E5</f>
        <v>#DIV/0!</v>
      </c>
      <c r="G14" t="e">
        <f>ROUNDDOWN(F14*E6,0)</f>
        <v>#DIV/0!</v>
      </c>
      <c r="H14" s="4"/>
      <c r="I14" s="7" t="e">
        <f t="shared" si="3"/>
        <v>#DIV/0!</v>
      </c>
      <c r="J14" s="7" t="e">
        <f t="shared" si="0"/>
        <v>#DIV/0!</v>
      </c>
      <c r="K14" s="8"/>
      <c r="L14" s="3" t="e">
        <f>K14/E5</f>
        <v>#DIV/0!</v>
      </c>
      <c r="M14" s="8" t="e">
        <f>ROUNDDOWN(L14*E6,0)</f>
        <v>#DIV/0!</v>
      </c>
      <c r="N14" s="10"/>
      <c r="O14" s="10" t="e">
        <f t="shared" si="1"/>
        <v>#DIV/0!</v>
      </c>
      <c r="P14" s="7" t="e">
        <f t="shared" si="2"/>
        <v>#DIV/0!</v>
      </c>
    </row>
    <row r="15" spans="2:16" s="2" customFormat="1" x14ac:dyDescent="0.3">
      <c r="B15" t="s">
        <v>23</v>
      </c>
      <c r="C15" t="s">
        <v>9</v>
      </c>
      <c r="D15" t="s">
        <v>22</v>
      </c>
      <c r="E15" s="1"/>
      <c r="F15" s="3" t="e">
        <f>E15/E5</f>
        <v>#DIV/0!</v>
      </c>
      <c r="G15" t="e">
        <f>ROUNDDOWN(F15*E6,0)</f>
        <v>#DIV/0!</v>
      </c>
      <c r="H15" s="4"/>
      <c r="I15" s="7" t="e">
        <f t="shared" si="3"/>
        <v>#DIV/0!</v>
      </c>
      <c r="J15" s="7" t="e">
        <f t="shared" si="0"/>
        <v>#DIV/0!</v>
      </c>
      <c r="K15" s="8"/>
      <c r="L15" s="3" t="e">
        <f>K15/E5</f>
        <v>#DIV/0!</v>
      </c>
      <c r="M15" s="8" t="e">
        <f>ROUNDDOWN(L15*E6,0)</f>
        <v>#DIV/0!</v>
      </c>
      <c r="N15" s="10"/>
      <c r="O15" s="10" t="e">
        <f t="shared" si="1"/>
        <v>#DIV/0!</v>
      </c>
      <c r="P15" s="7" t="e">
        <f t="shared" si="2"/>
        <v>#DIV/0!</v>
      </c>
    </row>
    <row r="16" spans="2:16" s="2" customFormat="1" x14ac:dyDescent="0.3">
      <c r="B16" t="s">
        <v>23</v>
      </c>
      <c r="C16" t="s">
        <v>31</v>
      </c>
      <c r="D16" t="s">
        <v>22</v>
      </c>
      <c r="E16" s="1"/>
      <c r="F16" s="3" t="e">
        <f>E16/E5</f>
        <v>#DIV/0!</v>
      </c>
      <c r="G16" t="e">
        <f>ROUNDDOWN(F16*E6,0)</f>
        <v>#DIV/0!</v>
      </c>
      <c r="H16" s="4"/>
      <c r="I16" s="7" t="e">
        <f t="shared" si="3"/>
        <v>#DIV/0!</v>
      </c>
      <c r="J16" s="7" t="e">
        <f t="shared" si="0"/>
        <v>#DIV/0!</v>
      </c>
      <c r="K16" s="8"/>
      <c r="L16" s="3" t="e">
        <f>K16/E5</f>
        <v>#DIV/0!</v>
      </c>
      <c r="M16" s="8" t="e">
        <f>ROUNDDOWN(L16*E6,0)</f>
        <v>#DIV/0!</v>
      </c>
      <c r="N16" s="10"/>
      <c r="O16" s="10" t="e">
        <f t="shared" si="1"/>
        <v>#DIV/0!</v>
      </c>
      <c r="P16" s="7" t="e">
        <f t="shared" si="2"/>
        <v>#DIV/0!</v>
      </c>
    </row>
    <row r="17" spans="2:16" s="2" customFormat="1" x14ac:dyDescent="0.3">
      <c r="B17" t="s">
        <v>23</v>
      </c>
      <c r="C17" t="s">
        <v>32</v>
      </c>
      <c r="D17" t="s">
        <v>22</v>
      </c>
      <c r="E17" s="1"/>
      <c r="F17" s="3" t="e">
        <f>E17/E5</f>
        <v>#DIV/0!</v>
      </c>
      <c r="G17" t="e">
        <f>ROUNDDOWN(F17*E6,0)</f>
        <v>#DIV/0!</v>
      </c>
      <c r="H17" s="4"/>
      <c r="I17" s="7" t="e">
        <f t="shared" si="3"/>
        <v>#DIV/0!</v>
      </c>
      <c r="J17" s="7" t="e">
        <f t="shared" si="0"/>
        <v>#DIV/0!</v>
      </c>
      <c r="K17" s="8"/>
      <c r="L17" s="3" t="e">
        <f>K17/E5</f>
        <v>#DIV/0!</v>
      </c>
      <c r="M17" s="8" t="e">
        <f>ROUNDDOWN(L17*E6,0)</f>
        <v>#DIV/0!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23</v>
      </c>
      <c r="C18" t="s">
        <v>33</v>
      </c>
      <c r="D18" t="s">
        <v>22</v>
      </c>
      <c r="E18" s="1"/>
      <c r="F18" s="3" t="e">
        <f>E18/E5</f>
        <v>#DIV/0!</v>
      </c>
      <c r="G18" t="e">
        <f>ROUNDDOWN(F18*E6,0)</f>
        <v>#DIV/0!</v>
      </c>
      <c r="H18" s="4"/>
      <c r="I18" s="7" t="e">
        <f t="shared" si="3"/>
        <v>#DIV/0!</v>
      </c>
      <c r="J18" s="7" t="e">
        <f t="shared" si="0"/>
        <v>#DIV/0!</v>
      </c>
      <c r="K18" s="8"/>
      <c r="L18" s="3" t="e">
        <f>K18/E5</f>
        <v>#DIV/0!</v>
      </c>
      <c r="M18" s="8" t="e">
        <f>ROUNDDOWN(L18*E6,0)</f>
        <v>#DIV/0!</v>
      </c>
      <c r="N18" s="10"/>
      <c r="O18" s="10" t="e">
        <f t="shared" si="1"/>
        <v>#DIV/0!</v>
      </c>
      <c r="P18" s="7" t="e">
        <f t="shared" si="2"/>
        <v>#DIV/0!</v>
      </c>
    </row>
    <row r="19" spans="2:16" s="2" customFormat="1" x14ac:dyDescent="0.3">
      <c r="B19" t="s">
        <v>23</v>
      </c>
      <c r="C19" t="s">
        <v>34</v>
      </c>
      <c r="D19" t="s">
        <v>22</v>
      </c>
      <c r="E19" s="1"/>
      <c r="F19" s="3" t="e">
        <f>E19/E5</f>
        <v>#DIV/0!</v>
      </c>
      <c r="G19" t="e">
        <f>ROUNDDOWN(F19*E6,0)</f>
        <v>#DIV/0!</v>
      </c>
      <c r="H19" s="4"/>
      <c r="I19" s="7" t="e">
        <f t="shared" si="3"/>
        <v>#DIV/0!</v>
      </c>
      <c r="J19" s="7" t="e">
        <f t="shared" si="0"/>
        <v>#DIV/0!</v>
      </c>
      <c r="K19" s="8"/>
      <c r="L19" s="3" t="e">
        <f>K19/E5</f>
        <v>#DIV/0!</v>
      </c>
      <c r="M19" s="8" t="e">
        <f>ROUNDDOWN(L19*E6,0)</f>
        <v>#DIV/0!</v>
      </c>
      <c r="N19" s="10"/>
      <c r="O19" s="10" t="e">
        <f t="shared" si="1"/>
        <v>#DIV/0!</v>
      </c>
      <c r="P19" s="7" t="e">
        <f t="shared" si="2"/>
        <v>#DIV/0!</v>
      </c>
    </row>
    <row r="20" spans="2:16" s="2" customFormat="1" x14ac:dyDescent="0.3">
      <c r="B20" t="s">
        <v>23</v>
      </c>
      <c r="C20" t="s">
        <v>35</v>
      </c>
      <c r="D20" t="s">
        <v>22</v>
      </c>
      <c r="E20" s="1"/>
      <c r="F20" s="3" t="e">
        <f>E20/E5</f>
        <v>#DIV/0!</v>
      </c>
      <c r="G20" t="e">
        <f>ROUNDDOWN(F20*E6,0)</f>
        <v>#DIV/0!</v>
      </c>
      <c r="H20" s="4"/>
      <c r="I20" s="7" t="e">
        <f t="shared" si="3"/>
        <v>#DIV/0!</v>
      </c>
      <c r="J20" s="7" t="e">
        <f t="shared" si="0"/>
        <v>#DIV/0!</v>
      </c>
      <c r="K20" s="8"/>
      <c r="L20" s="3" t="e">
        <f>K20/E5</f>
        <v>#DIV/0!</v>
      </c>
      <c r="M20" s="8" t="e">
        <f>ROUNDDOWN(L20*E6,0)</f>
        <v>#DIV/0!</v>
      </c>
      <c r="N20" s="10"/>
      <c r="O20" s="10" t="e">
        <f t="shared" si="1"/>
        <v>#DIV/0!</v>
      </c>
      <c r="P20" s="7" t="e">
        <f t="shared" si="2"/>
        <v>#DIV/0!</v>
      </c>
    </row>
    <row r="21" spans="2:16" s="2" customFormat="1" x14ac:dyDescent="0.3">
      <c r="B21" t="s">
        <v>23</v>
      </c>
      <c r="C21" t="s">
        <v>36</v>
      </c>
      <c r="D21" t="s">
        <v>22</v>
      </c>
      <c r="E21" s="1"/>
      <c r="F21" s="3" t="e">
        <f>E21/E5</f>
        <v>#DIV/0!</v>
      </c>
      <c r="G21" t="e">
        <f>ROUNDDOWN(F21*E6,0)</f>
        <v>#DIV/0!</v>
      </c>
      <c r="H21" s="4"/>
      <c r="I21" s="7" t="e">
        <f t="shared" si="3"/>
        <v>#DIV/0!</v>
      </c>
      <c r="J21" s="7" t="e">
        <f t="shared" si="0"/>
        <v>#DIV/0!</v>
      </c>
      <c r="K21" s="8"/>
      <c r="L21" s="3" t="e">
        <f>K21/E5</f>
        <v>#DIV/0!</v>
      </c>
      <c r="M21" s="8" t="e">
        <f>ROUNDDOWN(L21*E6,0)</f>
        <v>#DIV/0!</v>
      </c>
      <c r="N21" s="10"/>
      <c r="O21" s="10" t="e">
        <f t="shared" si="1"/>
        <v>#DIV/0!</v>
      </c>
      <c r="P21" s="7" t="e">
        <f t="shared" si="2"/>
        <v>#DIV/0!</v>
      </c>
    </row>
    <row r="22" spans="2:16" s="2" customFormat="1" x14ac:dyDescent="0.3">
      <c r="B22" t="s">
        <v>23</v>
      </c>
      <c r="C22" t="s">
        <v>10</v>
      </c>
      <c r="D22" t="s">
        <v>22</v>
      </c>
      <c r="E22" s="1"/>
      <c r="F22" s="3" t="e">
        <f>E22/E5</f>
        <v>#DIV/0!</v>
      </c>
      <c r="G22" t="e">
        <f>ROUNDDOWN(F22*E6,0)</f>
        <v>#DIV/0!</v>
      </c>
      <c r="H22" s="4"/>
      <c r="I22" s="7" t="e">
        <f t="shared" si="3"/>
        <v>#DIV/0!</v>
      </c>
      <c r="J22" s="7" t="e">
        <f t="shared" si="0"/>
        <v>#DIV/0!</v>
      </c>
      <c r="K22" s="8"/>
      <c r="L22" s="3" t="e">
        <f>K22/E5</f>
        <v>#DIV/0!</v>
      </c>
      <c r="M22" s="8" t="e">
        <f>ROUNDDOWN(L22*E6,0)</f>
        <v>#DIV/0!</v>
      </c>
      <c r="N22" s="10"/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t="s">
        <v>23</v>
      </c>
      <c r="C23" t="s">
        <v>37</v>
      </c>
      <c r="D23" t="s">
        <v>22</v>
      </c>
      <c r="E23" s="1"/>
      <c r="F23" s="3" t="e">
        <f>E23/E5</f>
        <v>#DIV/0!</v>
      </c>
      <c r="G23" t="e">
        <f>ROUNDDOWN(F23*E6,0)</f>
        <v>#DIV/0!</v>
      </c>
      <c r="H23" s="4"/>
      <c r="I23" s="7" t="e">
        <f t="shared" si="3"/>
        <v>#DIV/0!</v>
      </c>
      <c r="J23" s="7" t="e">
        <f t="shared" si="0"/>
        <v>#DIV/0!</v>
      </c>
      <c r="K23" s="8"/>
      <c r="L23" s="3" t="e">
        <f>K23/E5</f>
        <v>#DIV/0!</v>
      </c>
      <c r="M23" s="8" t="e">
        <f>ROUNDDOWN(L23*E6,0)</f>
        <v>#DIV/0!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23</v>
      </c>
      <c r="C24" t="s">
        <v>38</v>
      </c>
      <c r="D24" t="s">
        <v>22</v>
      </c>
      <c r="E24" s="1"/>
      <c r="F24" s="3" t="e">
        <f>E24/E5</f>
        <v>#DIV/0!</v>
      </c>
      <c r="G24" t="e">
        <f>ROUNDDOWN(F24*E6,0)</f>
        <v>#DIV/0!</v>
      </c>
      <c r="H24" s="4"/>
      <c r="I24" s="7" t="e">
        <f t="shared" si="3"/>
        <v>#DIV/0!</v>
      </c>
      <c r="J24" s="7" t="e">
        <f t="shared" si="0"/>
        <v>#DIV/0!</v>
      </c>
      <c r="K24" s="8"/>
      <c r="L24" s="3" t="e">
        <f>K24/E5</f>
        <v>#DIV/0!</v>
      </c>
      <c r="M24" s="8" t="e">
        <f>ROUNDDOWN(L24*E6,0)</f>
        <v>#DIV/0!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23</v>
      </c>
      <c r="C25" t="s">
        <v>39</v>
      </c>
      <c r="D25" t="s">
        <v>22</v>
      </c>
      <c r="E25" s="1"/>
      <c r="F25" s="3" t="e">
        <f>E25/E5</f>
        <v>#DIV/0!</v>
      </c>
      <c r="G25" t="e">
        <f>ROUNDDOWN(F25*E6,0)</f>
        <v>#DIV/0!</v>
      </c>
      <c r="H25" s="4"/>
      <c r="I25" s="7" t="e">
        <f t="shared" si="3"/>
        <v>#DIV/0!</v>
      </c>
      <c r="J25" s="7" t="e">
        <f t="shared" si="0"/>
        <v>#DIV/0!</v>
      </c>
      <c r="K25" s="8"/>
      <c r="L25" s="3" t="e">
        <f>K25/E5</f>
        <v>#DIV/0!</v>
      </c>
      <c r="M25" s="8" t="e">
        <f>ROUNDDOWN(L25*E6,0)</f>
        <v>#DIV/0!</v>
      </c>
      <c r="N25" s="10"/>
      <c r="O25" s="10" t="e">
        <f t="shared" si="1"/>
        <v>#DIV/0!</v>
      </c>
      <c r="P25" s="7" t="e">
        <f t="shared" si="2"/>
        <v>#DIV/0!</v>
      </c>
    </row>
    <row r="26" spans="2:16" s="2" customFormat="1" x14ac:dyDescent="0.3">
      <c r="B26" t="s">
        <v>23</v>
      </c>
      <c r="C26" t="s">
        <v>40</v>
      </c>
      <c r="D26" t="s">
        <v>22</v>
      </c>
      <c r="E26" s="1"/>
      <c r="F26" s="3" t="e">
        <f>E26/E5</f>
        <v>#DIV/0!</v>
      </c>
      <c r="G26" t="e">
        <f>ROUNDDOWN(F26*E6,0)</f>
        <v>#DIV/0!</v>
      </c>
      <c r="H26" s="4"/>
      <c r="I26" s="7" t="e">
        <f t="shared" si="3"/>
        <v>#DIV/0!</v>
      </c>
      <c r="J26" s="7" t="e">
        <f t="shared" si="0"/>
        <v>#DIV/0!</v>
      </c>
      <c r="K26" s="8"/>
      <c r="L26" s="3" t="e">
        <f>K26/E5</f>
        <v>#DIV/0!</v>
      </c>
      <c r="M26" s="8" t="e">
        <f>ROUNDDOWN(L26*E6,0)</f>
        <v>#DIV/0!</v>
      </c>
      <c r="N26" s="4"/>
      <c r="O26" s="10" t="e">
        <f t="shared" si="1"/>
        <v>#DIV/0!</v>
      </c>
      <c r="P26" s="7" t="e">
        <f t="shared" si="2"/>
        <v>#DIV/0!</v>
      </c>
    </row>
    <row r="27" spans="2:16" s="2" customFormat="1" x14ac:dyDescent="0.3">
      <c r="B27" t="s">
        <v>23</v>
      </c>
      <c r="C27" t="s">
        <v>41</v>
      </c>
      <c r="D27" t="s">
        <v>22</v>
      </c>
      <c r="E27" s="1"/>
      <c r="F27" s="3" t="e">
        <f>E27/E5</f>
        <v>#DIV/0!</v>
      </c>
      <c r="G27" t="e">
        <f>ROUNDDOWN(F27*E6,0)</f>
        <v>#DIV/0!</v>
      </c>
      <c r="H27" s="4"/>
      <c r="I27" s="7" t="e">
        <f t="shared" si="3"/>
        <v>#DIV/0!</v>
      </c>
      <c r="J27" s="7" t="e">
        <f t="shared" si="0"/>
        <v>#DIV/0!</v>
      </c>
      <c r="K27" s="8"/>
      <c r="L27" s="3" t="e">
        <f>K27/E5</f>
        <v>#DIV/0!</v>
      </c>
      <c r="M27" s="8" t="e">
        <f>ROUNDDOWN(L27*E6,0)</f>
        <v>#DIV/0!</v>
      </c>
      <c r="N27" s="4"/>
      <c r="O27" s="10" t="e">
        <f>N27/K27</f>
        <v>#DIV/0!</v>
      </c>
      <c r="P27" s="7" t="e">
        <f t="shared" si="2"/>
        <v>#DIV/0!</v>
      </c>
    </row>
    <row r="28" spans="2:16" s="2" customFormat="1" x14ac:dyDescent="0.3">
      <c r="B28" t="s">
        <v>23</v>
      </c>
      <c r="C28" t="s">
        <v>42</v>
      </c>
      <c r="D28" t="s">
        <v>22</v>
      </c>
      <c r="E28" s="1"/>
      <c r="F28" s="3" t="e">
        <f>E28/E5</f>
        <v>#DIV/0!</v>
      </c>
      <c r="G28" t="e">
        <f>ROUNDDOWN(F28*E6,0)</f>
        <v>#DIV/0!</v>
      </c>
      <c r="H28" s="4"/>
      <c r="I28" s="7" t="e">
        <f t="shared" si="3"/>
        <v>#DIV/0!</v>
      </c>
      <c r="J28" s="7" t="e">
        <f>I28*G28</f>
        <v>#DIV/0!</v>
      </c>
      <c r="K28" s="8"/>
      <c r="L28" s="3" t="e">
        <f>K28/E5</f>
        <v>#DIV/0!</v>
      </c>
      <c r="M28" s="8" t="e">
        <f>ROUNDDOWN(L28*E6,0)</f>
        <v>#DIV/0!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t="s">
        <v>23</v>
      </c>
      <c r="C29" t="s">
        <v>11</v>
      </c>
      <c r="D29" t="s">
        <v>22</v>
      </c>
      <c r="E29" s="1"/>
      <c r="F29" s="3" t="e">
        <f>E29/E5</f>
        <v>#DIV/0!</v>
      </c>
      <c r="G29" t="e">
        <f>ROUNDDOWN(F29*E6,0)</f>
        <v>#DIV/0!</v>
      </c>
      <c r="H29" s="4"/>
      <c r="I29" s="7" t="e">
        <f t="shared" si="3"/>
        <v>#DIV/0!</v>
      </c>
      <c r="J29" s="7" t="e">
        <f t="shared" si="0"/>
        <v>#DIV/0!</v>
      </c>
      <c r="K29" s="8"/>
      <c r="L29" s="3" t="e">
        <f>K29/E5</f>
        <v>#DIV/0!</v>
      </c>
      <c r="M29" s="8" t="e">
        <f>ROUNDDOWN(L29*E6,0)</f>
        <v>#DIV/0!</v>
      </c>
      <c r="N29" s="4"/>
      <c r="O29" s="10" t="e">
        <f t="shared" si="1"/>
        <v>#DIV/0!</v>
      </c>
      <c r="P29" s="7" t="e">
        <f t="shared" si="2"/>
        <v>#DIV/0!</v>
      </c>
    </row>
    <row r="30" spans="2:16" s="2" customFormat="1" x14ac:dyDescent="0.3">
      <c r="B30" t="s">
        <v>23</v>
      </c>
      <c r="C30" t="s">
        <v>12</v>
      </c>
      <c r="D30" t="s">
        <v>22</v>
      </c>
      <c r="E30" s="1"/>
      <c r="F30" s="3" t="e">
        <f>E30/E5</f>
        <v>#DIV/0!</v>
      </c>
      <c r="G30" t="e">
        <f>ROUNDDOWN(F30*E6,0)</f>
        <v>#DIV/0!</v>
      </c>
      <c r="H30" s="4"/>
      <c r="I30" s="7" t="e">
        <f t="shared" si="3"/>
        <v>#DIV/0!</v>
      </c>
      <c r="J30" s="7" t="e">
        <f t="shared" si="0"/>
        <v>#DIV/0!</v>
      </c>
      <c r="K30" s="8"/>
      <c r="L30" s="3" t="e">
        <f>K30/E5</f>
        <v>#DIV/0!</v>
      </c>
      <c r="M30" s="8" t="e">
        <f>ROUNDDOWN(L30*E6,0)</f>
        <v>#DIV/0!</v>
      </c>
      <c r="N30" s="4"/>
      <c r="O30" s="10" t="e">
        <f t="shared" si="1"/>
        <v>#DIV/0!</v>
      </c>
      <c r="P30" s="7" t="e">
        <f t="shared" si="2"/>
        <v>#DIV/0!</v>
      </c>
    </row>
    <row r="31" spans="2:16" s="2" customFormat="1" x14ac:dyDescent="0.3">
      <c r="B31" t="s">
        <v>23</v>
      </c>
      <c r="C31" t="s">
        <v>13</v>
      </c>
      <c r="D31" t="s">
        <v>22</v>
      </c>
      <c r="E31" s="1"/>
      <c r="F31" s="3" t="e">
        <f>E31/E5</f>
        <v>#DIV/0!</v>
      </c>
      <c r="G31" t="e">
        <f>ROUNDDOWN(F31*E6,0)</f>
        <v>#DIV/0!</v>
      </c>
      <c r="H31" s="4"/>
      <c r="I31" s="7" t="e">
        <f>H31/E31</f>
        <v>#DIV/0!</v>
      </c>
      <c r="J31" s="7" t="e">
        <f t="shared" si="0"/>
        <v>#DIV/0!</v>
      </c>
      <c r="K31" s="8"/>
      <c r="L31" s="3" t="e">
        <f>K31/E5</f>
        <v>#DIV/0!</v>
      </c>
      <c r="M31" s="8" t="e">
        <f>ROUNDDOWN(L31*E6,0)</f>
        <v>#DIV/0!</v>
      </c>
      <c r="N31" s="10"/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t="s">
        <v>23</v>
      </c>
      <c r="C32" t="s">
        <v>43</v>
      </c>
      <c r="D32" t="s">
        <v>22</v>
      </c>
      <c r="E32" s="1"/>
      <c r="F32" s="3" t="e">
        <f>E32/E5</f>
        <v>#DIV/0!</v>
      </c>
      <c r="G32" t="e">
        <f>ROUNDDOWN(F32*E6,0)</f>
        <v>#DIV/0!</v>
      </c>
      <c r="H32" s="4"/>
      <c r="I32" s="7" t="e">
        <f t="shared" si="3"/>
        <v>#DIV/0!</v>
      </c>
      <c r="J32" s="7" t="e">
        <f t="shared" si="0"/>
        <v>#DIV/0!</v>
      </c>
      <c r="K32" s="8"/>
      <c r="L32" s="3" t="e">
        <f>K32/E5</f>
        <v>#DIV/0!</v>
      </c>
      <c r="M32" s="8" t="e">
        <f>ROUNDDOWN(L32*E6,0)</f>
        <v>#DIV/0!</v>
      </c>
      <c r="N32" s="4"/>
      <c r="O32" s="10" t="e">
        <f t="shared" si="1"/>
        <v>#DIV/0!</v>
      </c>
      <c r="P32" s="7" t="e">
        <f t="shared" si="2"/>
        <v>#DIV/0!</v>
      </c>
    </row>
    <row r="33" spans="2:16" s="2" customFormat="1" x14ac:dyDescent="0.3">
      <c r="B33" t="s">
        <v>23</v>
      </c>
      <c r="C33" t="s">
        <v>44</v>
      </c>
      <c r="D33" t="s">
        <v>22</v>
      </c>
      <c r="E33" s="1"/>
      <c r="F33" s="3" t="e">
        <f>E33/E5</f>
        <v>#DIV/0!</v>
      </c>
      <c r="G33" t="e">
        <f>ROUNDDOWN(F33*E6,0)</f>
        <v>#DIV/0!</v>
      </c>
      <c r="H33" s="4"/>
      <c r="I33" s="7" t="e">
        <f t="shared" si="3"/>
        <v>#DIV/0!</v>
      </c>
      <c r="J33" s="7" t="e">
        <f t="shared" si="0"/>
        <v>#DIV/0!</v>
      </c>
      <c r="K33" s="8"/>
      <c r="L33" s="3" t="e">
        <f>K33/E5</f>
        <v>#DIV/0!</v>
      </c>
      <c r="M33" s="8" t="e">
        <f>ROUNDDOWN(L33*E6,0)</f>
        <v>#DIV/0!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23</v>
      </c>
      <c r="C34" t="s">
        <v>14</v>
      </c>
      <c r="D34" t="s">
        <v>22</v>
      </c>
      <c r="E34" s="1"/>
      <c r="F34" s="3" t="e">
        <f>E34/E5</f>
        <v>#DIV/0!</v>
      </c>
      <c r="G34" t="e">
        <f>ROUNDDOWN(F34*E6,0)</f>
        <v>#DIV/0!</v>
      </c>
      <c r="H34" s="4"/>
      <c r="I34" s="7" t="e">
        <f t="shared" si="3"/>
        <v>#DIV/0!</v>
      </c>
      <c r="J34" s="7" t="e">
        <f t="shared" si="0"/>
        <v>#DIV/0!</v>
      </c>
      <c r="K34" s="8"/>
      <c r="L34" s="3" t="e">
        <f>K34/E5</f>
        <v>#DIV/0!</v>
      </c>
      <c r="M34" s="8" t="e">
        <f>ROUNDDOWN(L34*E6,0)</f>
        <v>#DIV/0!</v>
      </c>
      <c r="N34" s="4"/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t="s">
        <v>23</v>
      </c>
      <c r="C35" t="s">
        <v>45</v>
      </c>
      <c r="D35" t="s">
        <v>22</v>
      </c>
      <c r="E35" s="1"/>
      <c r="F35" s="3" t="e">
        <f>E35/E5</f>
        <v>#DIV/0!</v>
      </c>
      <c r="G35" t="e">
        <f>ROUNDDOWN(F35*E6,0)</f>
        <v>#DIV/0!</v>
      </c>
      <c r="H35" s="4"/>
      <c r="I35" s="7" t="e">
        <f t="shared" si="3"/>
        <v>#DIV/0!</v>
      </c>
      <c r="J35" s="7" t="e">
        <f t="shared" si="0"/>
        <v>#DIV/0!</v>
      </c>
      <c r="K35" s="8"/>
      <c r="L35" s="3" t="e">
        <f>K35/E5</f>
        <v>#DIV/0!</v>
      </c>
      <c r="M35" s="8" t="e">
        <f>ROUNDDOWN(L35*E6,0)</f>
        <v>#DIV/0!</v>
      </c>
      <c r="N35" s="4"/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t="s">
        <v>23</v>
      </c>
      <c r="C36" t="s">
        <v>15</v>
      </c>
      <c r="D36" t="s">
        <v>22</v>
      </c>
      <c r="E36" s="1"/>
      <c r="F36" s="3" t="e">
        <f>E36/E5</f>
        <v>#DIV/0!</v>
      </c>
      <c r="G36" t="e">
        <f>ROUNDDOWN(F36*E6,0)</f>
        <v>#DIV/0!</v>
      </c>
      <c r="H36" s="4"/>
      <c r="I36" s="7" t="e">
        <f t="shared" si="3"/>
        <v>#DIV/0!</v>
      </c>
      <c r="J36" s="7" t="e">
        <f t="shared" si="0"/>
        <v>#DIV/0!</v>
      </c>
      <c r="K36" s="8"/>
      <c r="L36" s="3" t="e">
        <f>K36/E5</f>
        <v>#DIV/0!</v>
      </c>
      <c r="M36" s="8" t="e">
        <f>ROUNDDOWN(L36*E6,0)</f>
        <v>#DIV/0!</v>
      </c>
      <c r="N36" s="10"/>
      <c r="O36" s="10" t="e">
        <f t="shared" si="1"/>
        <v>#DIV/0!</v>
      </c>
      <c r="P36" s="7" t="e">
        <f t="shared" si="2"/>
        <v>#DIV/0!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0</v>
      </c>
      <c r="G38" t="e">
        <f>SUM(G8:G36)</f>
        <v>#DIV/0!</v>
      </c>
      <c r="I38" s="7" t="e">
        <f t="shared" si="3"/>
        <v>#DIV/0!</v>
      </c>
      <c r="J38" s="7" t="e">
        <f t="shared" si="0"/>
        <v>#DIV/0!</v>
      </c>
      <c r="L38" s="3"/>
      <c r="M38" s="3"/>
      <c r="N38" s="10"/>
      <c r="O3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State Summary Graphs</vt:lpstr>
      <vt:lpstr>2016_IC3 State to City</vt:lpstr>
      <vt:lpstr>2017_IC3 State to City</vt:lpstr>
      <vt:lpstr>2018_IC3 State to City</vt:lpstr>
      <vt:lpstr>2019_IC3 State to City</vt:lpstr>
      <vt:lpstr>2020_IC3 State to City</vt:lpstr>
      <vt:lpstr>2021_IC3 State to City</vt:lpstr>
      <vt:lpstr>City Summary</vt:lpstr>
      <vt:lpstr>2022_IC3 State to City</vt:lpstr>
      <vt:lpstr>BLANK_IC3 State to City</vt:lpstr>
      <vt:lpstr>BLANK_IC3 State to City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O'Keefe-Odom</dc:creator>
  <cp:lastModifiedBy>John O'Keefe-Odom</cp:lastModifiedBy>
  <dcterms:created xsi:type="dcterms:W3CDTF">2023-11-08T00:59:32Z</dcterms:created>
  <dcterms:modified xsi:type="dcterms:W3CDTF">2024-03-15T00:31:25Z</dcterms:modified>
</cp:coreProperties>
</file>