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ladi\source\repos\bookWork2\KandRStyle\research\risk_air_gap\"/>
    </mc:Choice>
  </mc:AlternateContent>
  <xr:revisionPtr revIDLastSave="0" documentId="13_ncr:1_{9B1C6736-8FC4-4564-BC03-44B16A4B5596}" xr6:coauthVersionLast="47" xr6:coauthVersionMax="47" xr10:uidLastSave="{00000000-0000-0000-0000-000000000000}"/>
  <bookViews>
    <workbookView xWindow="-108" yWindow="-108" windowWidth="23256" windowHeight="12456" firstSheet="2" activeTab="4" xr2:uid="{A6B90A6B-86D8-4A34-B9C9-776670F3C0EC}"/>
  </bookViews>
  <sheets>
    <sheet name="State Summary Graphs" sheetId="9" r:id="rId1"/>
    <sheet name="2016_IC3 State to City" sheetId="8" r:id="rId2"/>
    <sheet name="2017_IC3 State to City" sheetId="7" r:id="rId3"/>
    <sheet name="2018_IC3 State to City" sheetId="6" r:id="rId4"/>
    <sheet name="2019_IC3 State to City" sheetId="12" r:id="rId5"/>
    <sheet name="2020_IC3 State to City" sheetId="3" r:id="rId6"/>
    <sheet name="2021_IC3 State to City" sheetId="15" r:id="rId7"/>
    <sheet name="City Summary" sheetId="16" r:id="rId8"/>
    <sheet name="2022_IC3 State to City" sheetId="17" r:id="rId9"/>
    <sheet name="BLANK_IC3 State to City" sheetId="18" r:id="rId10"/>
    <sheet name="BLANK_IC3 State to City (2)" sheetId="19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19" l="1"/>
  <c r="I38" i="19" s="1"/>
  <c r="H38" i="19"/>
  <c r="K38" i="19"/>
  <c r="N38" i="19"/>
  <c r="O38" i="19"/>
  <c r="O36" i="19"/>
  <c r="L36" i="19"/>
  <c r="M36" i="19" s="1"/>
  <c r="P36" i="19" s="1"/>
  <c r="I36" i="19"/>
  <c r="F36" i="19"/>
  <c r="G36" i="19" s="1"/>
  <c r="J36" i="19" s="1"/>
  <c r="O35" i="19"/>
  <c r="P35" i="19" s="1"/>
  <c r="L35" i="19"/>
  <c r="M35" i="19" s="1"/>
  <c r="I35" i="19"/>
  <c r="F35" i="19"/>
  <c r="G35" i="19" s="1"/>
  <c r="J35" i="19" s="1"/>
  <c r="O34" i="19"/>
  <c r="L34" i="19"/>
  <c r="M34" i="19"/>
  <c r="P34" i="19" s="1"/>
  <c r="I34" i="19"/>
  <c r="J34" i="19"/>
  <c r="F34" i="19"/>
  <c r="G34" i="19"/>
  <c r="O33" i="19"/>
  <c r="L33" i="19"/>
  <c r="M33" i="19" s="1"/>
  <c r="P33" i="19" s="1"/>
  <c r="I33" i="19"/>
  <c r="F33" i="19"/>
  <c r="G33" i="19" s="1"/>
  <c r="J33" i="19" s="1"/>
  <c r="O32" i="19"/>
  <c r="L32" i="19"/>
  <c r="M32" i="19" s="1"/>
  <c r="P32" i="19" s="1"/>
  <c r="I32" i="19"/>
  <c r="J32" i="19"/>
  <c r="F32" i="19"/>
  <c r="G32" i="19" s="1"/>
  <c r="O31" i="19"/>
  <c r="P31" i="19" s="1"/>
  <c r="L31" i="19"/>
  <c r="M31" i="19"/>
  <c r="I31" i="19"/>
  <c r="F31" i="19"/>
  <c r="G31" i="19"/>
  <c r="O30" i="19"/>
  <c r="L30" i="19"/>
  <c r="M30" i="19"/>
  <c r="I30" i="19"/>
  <c r="J30" i="19"/>
  <c r="F30" i="19"/>
  <c r="G30" i="19" s="1"/>
  <c r="O29" i="19"/>
  <c r="L29" i="19"/>
  <c r="M29" i="19" s="1"/>
  <c r="P29" i="19" s="1"/>
  <c r="I29" i="19"/>
  <c r="J29" i="19"/>
  <c r="F29" i="19"/>
  <c r="G29" i="19"/>
  <c r="O28" i="19"/>
  <c r="L28" i="19"/>
  <c r="M28" i="19"/>
  <c r="P28" i="19" s="1"/>
  <c r="I28" i="19"/>
  <c r="F28" i="19"/>
  <c r="G28" i="19" s="1"/>
  <c r="O27" i="19"/>
  <c r="L27" i="19"/>
  <c r="M27" i="19" s="1"/>
  <c r="P27" i="19" s="1"/>
  <c r="I27" i="19"/>
  <c r="F27" i="19"/>
  <c r="G27" i="19" s="1"/>
  <c r="O26" i="19"/>
  <c r="L26" i="19"/>
  <c r="M26" i="19" s="1"/>
  <c r="P26" i="19" s="1"/>
  <c r="I26" i="19"/>
  <c r="F26" i="19"/>
  <c r="G26" i="19" s="1"/>
  <c r="O25" i="19"/>
  <c r="P25" i="19" s="1"/>
  <c r="L25" i="19"/>
  <c r="M25" i="19" s="1"/>
  <c r="I25" i="19"/>
  <c r="J25" i="19" s="1"/>
  <c r="F25" i="19"/>
  <c r="G25" i="19" s="1"/>
  <c r="O24" i="19"/>
  <c r="P24" i="19" s="1"/>
  <c r="L24" i="19"/>
  <c r="M24" i="19"/>
  <c r="I24" i="19"/>
  <c r="J24" i="19"/>
  <c r="F24" i="19"/>
  <c r="G24" i="19" s="1"/>
  <c r="O23" i="19"/>
  <c r="L23" i="19"/>
  <c r="M23" i="19" s="1"/>
  <c r="P23" i="19" s="1"/>
  <c r="I23" i="19"/>
  <c r="F23" i="19"/>
  <c r="G23" i="19" s="1"/>
  <c r="J23" i="19" s="1"/>
  <c r="O22" i="19"/>
  <c r="P22" i="19" s="1"/>
  <c r="L22" i="19"/>
  <c r="M22" i="19" s="1"/>
  <c r="I22" i="19"/>
  <c r="F22" i="19"/>
  <c r="G22" i="19" s="1"/>
  <c r="J22" i="19" s="1"/>
  <c r="O21" i="19"/>
  <c r="L21" i="19"/>
  <c r="M21" i="19" s="1"/>
  <c r="P21" i="19" s="1"/>
  <c r="I21" i="19"/>
  <c r="J21" i="19" s="1"/>
  <c r="F21" i="19"/>
  <c r="G21" i="19" s="1"/>
  <c r="O20" i="19"/>
  <c r="P20" i="19" s="1"/>
  <c r="L20" i="19"/>
  <c r="M20" i="19" s="1"/>
  <c r="I20" i="19"/>
  <c r="F20" i="19"/>
  <c r="G20" i="19" s="1"/>
  <c r="O19" i="19"/>
  <c r="P19" i="19" s="1"/>
  <c r="L19" i="19"/>
  <c r="M19" i="19" s="1"/>
  <c r="I19" i="19"/>
  <c r="F19" i="19"/>
  <c r="G19" i="19" s="1"/>
  <c r="J19" i="19" s="1"/>
  <c r="O18" i="19"/>
  <c r="L18" i="19"/>
  <c r="M18" i="19" s="1"/>
  <c r="I18" i="19"/>
  <c r="J18" i="19" s="1"/>
  <c r="F18" i="19"/>
  <c r="G18" i="19" s="1"/>
  <c r="O17" i="19"/>
  <c r="P17" i="19" s="1"/>
  <c r="L17" i="19"/>
  <c r="M17" i="19" s="1"/>
  <c r="I17" i="19"/>
  <c r="J17" i="19" s="1"/>
  <c r="F17" i="19"/>
  <c r="G17" i="19"/>
  <c r="O16" i="19"/>
  <c r="L16" i="19"/>
  <c r="M16" i="19"/>
  <c r="P16" i="19" s="1"/>
  <c r="I16" i="19"/>
  <c r="J16" i="19"/>
  <c r="F16" i="19"/>
  <c r="G16" i="19" s="1"/>
  <c r="O15" i="19"/>
  <c r="L15" i="19"/>
  <c r="M15" i="19" s="1"/>
  <c r="P15" i="19" s="1"/>
  <c r="I15" i="19"/>
  <c r="J15" i="19" s="1"/>
  <c r="F15" i="19"/>
  <c r="G15" i="19" s="1"/>
  <c r="O14" i="19"/>
  <c r="L14" i="19"/>
  <c r="M14" i="19" s="1"/>
  <c r="P14" i="19" s="1"/>
  <c r="I14" i="19"/>
  <c r="F14" i="19"/>
  <c r="G14" i="19"/>
  <c r="J14" i="19" s="1"/>
  <c r="O13" i="19"/>
  <c r="P13" i="19"/>
  <c r="L13" i="19"/>
  <c r="M13" i="19" s="1"/>
  <c r="I13" i="19"/>
  <c r="F13" i="19"/>
  <c r="G13" i="19" s="1"/>
  <c r="J13" i="19" s="1"/>
  <c r="O12" i="19"/>
  <c r="L12" i="19"/>
  <c r="M12" i="19" s="1"/>
  <c r="I12" i="19"/>
  <c r="J12" i="19"/>
  <c r="F12" i="19"/>
  <c r="G12" i="19" s="1"/>
  <c r="O11" i="19"/>
  <c r="L11" i="19"/>
  <c r="M11" i="19" s="1"/>
  <c r="P11" i="19" s="1"/>
  <c r="I11" i="19"/>
  <c r="F11" i="19"/>
  <c r="G11" i="19" s="1"/>
  <c r="O10" i="19"/>
  <c r="P10" i="19"/>
  <c r="L10" i="19"/>
  <c r="M10" i="19" s="1"/>
  <c r="I10" i="19"/>
  <c r="F10" i="19"/>
  <c r="G10" i="19" s="1"/>
  <c r="J10" i="19" s="1"/>
  <c r="O9" i="19"/>
  <c r="P9" i="19"/>
  <c r="L9" i="19"/>
  <c r="M9" i="19"/>
  <c r="I9" i="19"/>
  <c r="F9" i="19"/>
  <c r="G9" i="19" s="1"/>
  <c r="O8" i="19"/>
  <c r="L8" i="19"/>
  <c r="M8" i="19"/>
  <c r="P8" i="19" s="1"/>
  <c r="I8" i="19"/>
  <c r="J8" i="19"/>
  <c r="F8" i="19"/>
  <c r="G8" i="19"/>
  <c r="O7" i="19"/>
  <c r="L7" i="19"/>
  <c r="M7" i="19"/>
  <c r="M38" i="19" s="1"/>
  <c r="I7" i="19"/>
  <c r="F7" i="19"/>
  <c r="G7" i="19" s="1"/>
  <c r="E38" i="18"/>
  <c r="I38" i="18" s="1"/>
  <c r="H38" i="18"/>
  <c r="K38" i="18"/>
  <c r="N38" i="18"/>
  <c r="O38" i="18"/>
  <c r="O36" i="18"/>
  <c r="L36" i="18"/>
  <c r="M36" i="18" s="1"/>
  <c r="I36" i="18"/>
  <c r="F36" i="18"/>
  <c r="G36" i="18" s="1"/>
  <c r="O35" i="18"/>
  <c r="P35" i="18" s="1"/>
  <c r="L35" i="18"/>
  <c r="M35" i="18"/>
  <c r="I35" i="18"/>
  <c r="F35" i="18"/>
  <c r="G35" i="18" s="1"/>
  <c r="O34" i="18"/>
  <c r="L34" i="18"/>
  <c r="M34" i="18" s="1"/>
  <c r="P34" i="18" s="1"/>
  <c r="I34" i="18"/>
  <c r="F34" i="18"/>
  <c r="G34" i="18" s="1"/>
  <c r="O33" i="18"/>
  <c r="L33" i="18"/>
  <c r="M33" i="18" s="1"/>
  <c r="I33" i="18"/>
  <c r="J33" i="18"/>
  <c r="F33" i="18"/>
  <c r="G33" i="18" s="1"/>
  <c r="O32" i="18"/>
  <c r="L32" i="18"/>
  <c r="M32" i="18" s="1"/>
  <c r="P32" i="18" s="1"/>
  <c r="I32" i="18"/>
  <c r="F32" i="18"/>
  <c r="G32" i="18" s="1"/>
  <c r="J32" i="18" s="1"/>
  <c r="O31" i="18"/>
  <c r="P31" i="18" s="1"/>
  <c r="L31" i="18"/>
  <c r="M31" i="18" s="1"/>
  <c r="I31" i="18"/>
  <c r="J31" i="18" s="1"/>
  <c r="F31" i="18"/>
  <c r="G31" i="18" s="1"/>
  <c r="O30" i="18"/>
  <c r="L30" i="18"/>
  <c r="M30" i="18"/>
  <c r="I30" i="18"/>
  <c r="F30" i="18"/>
  <c r="G30" i="18" s="1"/>
  <c r="O29" i="18"/>
  <c r="P29" i="18" s="1"/>
  <c r="L29" i="18"/>
  <c r="M29" i="18" s="1"/>
  <c r="I29" i="18"/>
  <c r="J29" i="18" s="1"/>
  <c r="F29" i="18"/>
  <c r="G29" i="18" s="1"/>
  <c r="O28" i="18"/>
  <c r="P28" i="18" s="1"/>
  <c r="L28" i="18"/>
  <c r="M28" i="18" s="1"/>
  <c r="I28" i="18"/>
  <c r="J28" i="18" s="1"/>
  <c r="F28" i="18"/>
  <c r="G28" i="18"/>
  <c r="O27" i="18"/>
  <c r="P27" i="18"/>
  <c r="L27" i="18"/>
  <c r="M27" i="18" s="1"/>
  <c r="I27" i="18"/>
  <c r="F27" i="18"/>
  <c r="G27" i="18" s="1"/>
  <c r="J27" i="18" s="1"/>
  <c r="O26" i="18"/>
  <c r="P26" i="18"/>
  <c r="L26" i="18"/>
  <c r="M26" i="18"/>
  <c r="I26" i="18"/>
  <c r="F26" i="18"/>
  <c r="G26" i="18" s="1"/>
  <c r="O25" i="18"/>
  <c r="L25" i="18"/>
  <c r="M25" i="18" s="1"/>
  <c r="P25" i="18" s="1"/>
  <c r="I25" i="18"/>
  <c r="F25" i="18"/>
  <c r="G25" i="18" s="1"/>
  <c r="J25" i="18" s="1"/>
  <c r="O24" i="18"/>
  <c r="P24" i="18"/>
  <c r="L24" i="18"/>
  <c r="M24" i="18" s="1"/>
  <c r="I24" i="18"/>
  <c r="J24" i="18" s="1"/>
  <c r="F24" i="18"/>
  <c r="G24" i="18"/>
  <c r="O23" i="18"/>
  <c r="L23" i="18"/>
  <c r="M23" i="18"/>
  <c r="P23" i="18" s="1"/>
  <c r="I23" i="18"/>
  <c r="J23" i="18"/>
  <c r="F23" i="18"/>
  <c r="G23" i="18" s="1"/>
  <c r="O22" i="18"/>
  <c r="L22" i="18"/>
  <c r="M22" i="18"/>
  <c r="I22" i="18"/>
  <c r="F22" i="18"/>
  <c r="G22" i="18" s="1"/>
  <c r="O21" i="18"/>
  <c r="L21" i="18"/>
  <c r="M21" i="18" s="1"/>
  <c r="P21" i="18" s="1"/>
  <c r="I21" i="18"/>
  <c r="F21" i="18"/>
  <c r="G21" i="18"/>
  <c r="O20" i="18"/>
  <c r="P20" i="18"/>
  <c r="L20" i="18"/>
  <c r="M20" i="18"/>
  <c r="I20" i="18"/>
  <c r="F20" i="18"/>
  <c r="G20" i="18" s="1"/>
  <c r="O19" i="18"/>
  <c r="P19" i="18" s="1"/>
  <c r="L19" i="18"/>
  <c r="M19" i="18" s="1"/>
  <c r="I19" i="18"/>
  <c r="J19" i="18" s="1"/>
  <c r="F19" i="18"/>
  <c r="G19" i="18" s="1"/>
  <c r="O18" i="18"/>
  <c r="L18" i="18"/>
  <c r="M18" i="18"/>
  <c r="I18" i="18"/>
  <c r="F18" i="18"/>
  <c r="G18" i="18" s="1"/>
  <c r="O17" i="18"/>
  <c r="L17" i="18"/>
  <c r="M17" i="18" s="1"/>
  <c r="I17" i="18"/>
  <c r="F17" i="18"/>
  <c r="G17" i="18" s="1"/>
  <c r="J17" i="18" s="1"/>
  <c r="O16" i="18"/>
  <c r="L16" i="18"/>
  <c r="M16" i="18" s="1"/>
  <c r="P16" i="18" s="1"/>
  <c r="I16" i="18"/>
  <c r="F16" i="18"/>
  <c r="G16" i="18" s="1"/>
  <c r="J16" i="18" s="1"/>
  <c r="O15" i="18"/>
  <c r="P15" i="18"/>
  <c r="L15" i="18"/>
  <c r="M15" i="18" s="1"/>
  <c r="I15" i="18"/>
  <c r="J15" i="18" s="1"/>
  <c r="F15" i="18"/>
  <c r="G15" i="18" s="1"/>
  <c r="O14" i="18"/>
  <c r="L14" i="18"/>
  <c r="M14" i="18" s="1"/>
  <c r="P14" i="18" s="1"/>
  <c r="I14" i="18"/>
  <c r="F14" i="18"/>
  <c r="G14" i="18"/>
  <c r="O13" i="18"/>
  <c r="L13" i="18"/>
  <c r="M13" i="18" s="1"/>
  <c r="I13" i="18"/>
  <c r="F13" i="18"/>
  <c r="G13" i="18" s="1"/>
  <c r="O12" i="18"/>
  <c r="L12" i="18"/>
  <c r="M12" i="18"/>
  <c r="I12" i="18"/>
  <c r="F12" i="18"/>
  <c r="G12" i="18" s="1"/>
  <c r="O11" i="18"/>
  <c r="L11" i="18"/>
  <c r="M11" i="18"/>
  <c r="P11" i="18" s="1"/>
  <c r="I11" i="18"/>
  <c r="F11" i="18"/>
  <c r="G11" i="18" s="1"/>
  <c r="O10" i="18"/>
  <c r="P10" i="18" s="1"/>
  <c r="L10" i="18"/>
  <c r="M10" i="18" s="1"/>
  <c r="I10" i="18"/>
  <c r="F10" i="18"/>
  <c r="G10" i="18" s="1"/>
  <c r="J10" i="18" s="1"/>
  <c r="O9" i="18"/>
  <c r="L9" i="18"/>
  <c r="M9" i="18" s="1"/>
  <c r="I9" i="18"/>
  <c r="J9" i="18" s="1"/>
  <c r="F9" i="18"/>
  <c r="G9" i="18" s="1"/>
  <c r="O8" i="18"/>
  <c r="L8" i="18"/>
  <c r="M8" i="18"/>
  <c r="I8" i="18"/>
  <c r="J8" i="18"/>
  <c r="F8" i="18"/>
  <c r="G8" i="18"/>
  <c r="O7" i="18"/>
  <c r="L7" i="18"/>
  <c r="M7" i="18" s="1"/>
  <c r="P7" i="18" s="1"/>
  <c r="I7" i="18"/>
  <c r="F7" i="18"/>
  <c r="G7" i="18" s="1"/>
  <c r="D14" i="16" a="1"/>
  <c r="D14" i="16" s="1"/>
  <c r="D15" i="16" s="1"/>
  <c r="D19" i="16"/>
  <c r="D21" i="16"/>
  <c r="E38" i="17"/>
  <c r="I38" i="17"/>
  <c r="L38" i="17"/>
  <c r="O38" i="17"/>
  <c r="P36" i="17"/>
  <c r="M36" i="17"/>
  <c r="N36" i="17"/>
  <c r="J36" i="17"/>
  <c r="F36" i="17"/>
  <c r="G36" i="17" s="1"/>
  <c r="H36" i="17" s="1"/>
  <c r="P35" i="17"/>
  <c r="M35" i="17"/>
  <c r="N35" i="17" s="1"/>
  <c r="Q35" i="17" s="1"/>
  <c r="J35" i="17"/>
  <c r="F35" i="17"/>
  <c r="G35" i="17" s="1"/>
  <c r="H35" i="17" s="1"/>
  <c r="P34" i="17"/>
  <c r="M34" i="17"/>
  <c r="N34" i="17" s="1"/>
  <c r="J34" i="17"/>
  <c r="K34" i="17" s="1"/>
  <c r="F34" i="17"/>
  <c r="G34" i="17" s="1"/>
  <c r="H34" i="17" s="1"/>
  <c r="P33" i="17"/>
  <c r="M33" i="17"/>
  <c r="N33" i="17" s="1"/>
  <c r="Q33" i="17" s="1"/>
  <c r="J33" i="17"/>
  <c r="F33" i="17"/>
  <c r="G33" i="17" s="1"/>
  <c r="H33" i="17" s="1"/>
  <c r="P32" i="17"/>
  <c r="M32" i="17"/>
  <c r="N32" i="17" s="1"/>
  <c r="J32" i="17"/>
  <c r="K32" i="17"/>
  <c r="F32" i="17"/>
  <c r="G32" i="17" s="1"/>
  <c r="H32" i="17" s="1"/>
  <c r="P31" i="17"/>
  <c r="M31" i="17"/>
  <c r="N31" i="17" s="1"/>
  <c r="J31" i="17"/>
  <c r="F31" i="17"/>
  <c r="G31" i="17" s="1"/>
  <c r="H31" i="17" s="1"/>
  <c r="P30" i="17"/>
  <c r="M30" i="17"/>
  <c r="N30" i="17" s="1"/>
  <c r="J30" i="17"/>
  <c r="F30" i="17"/>
  <c r="G30" i="17"/>
  <c r="H30" i="17" s="1"/>
  <c r="P29" i="17"/>
  <c r="M29" i="17"/>
  <c r="N29" i="17" s="1"/>
  <c r="Q29" i="17" s="1"/>
  <c r="J29" i="17"/>
  <c r="F29" i="17"/>
  <c r="G29" i="17" s="1"/>
  <c r="H29" i="17" s="1"/>
  <c r="P28" i="17"/>
  <c r="M28" i="17"/>
  <c r="N28" i="17" s="1"/>
  <c r="J28" i="17"/>
  <c r="F28" i="17"/>
  <c r="G28" i="17" s="1"/>
  <c r="H28" i="17" s="1"/>
  <c r="P27" i="17"/>
  <c r="M27" i="17"/>
  <c r="N27" i="17" s="1"/>
  <c r="J27" i="17"/>
  <c r="F27" i="17"/>
  <c r="G27" i="17" s="1"/>
  <c r="H27" i="17" s="1"/>
  <c r="P26" i="17"/>
  <c r="M26" i="17"/>
  <c r="N26" i="17" s="1"/>
  <c r="Q26" i="17" s="1"/>
  <c r="J26" i="17"/>
  <c r="F26" i="17"/>
  <c r="G26" i="17" s="1"/>
  <c r="H26" i="17" s="1"/>
  <c r="P25" i="17"/>
  <c r="M25" i="17"/>
  <c r="N25" i="17" s="1"/>
  <c r="J25" i="17"/>
  <c r="K25" i="17" s="1"/>
  <c r="F25" i="17"/>
  <c r="G25" i="17" s="1"/>
  <c r="H25" i="17" s="1"/>
  <c r="P24" i="17"/>
  <c r="Q24" i="17" s="1"/>
  <c r="M24" i="17"/>
  <c r="N24" i="17" s="1"/>
  <c r="J24" i="17"/>
  <c r="K24" i="17" s="1"/>
  <c r="F24" i="17"/>
  <c r="G24" i="17" s="1"/>
  <c r="H24" i="17" s="1"/>
  <c r="P23" i="17"/>
  <c r="M23" i="17"/>
  <c r="N23" i="17" s="1"/>
  <c r="J23" i="17"/>
  <c r="F23" i="17"/>
  <c r="G23" i="17"/>
  <c r="H23" i="17" s="1"/>
  <c r="P22" i="17"/>
  <c r="M22" i="17"/>
  <c r="N22" i="17" s="1"/>
  <c r="J22" i="17"/>
  <c r="F22" i="17"/>
  <c r="G22" i="17" s="1"/>
  <c r="H22" i="17" s="1"/>
  <c r="P21" i="17"/>
  <c r="M21" i="17"/>
  <c r="N21" i="17" s="1"/>
  <c r="Q21" i="17" s="1"/>
  <c r="J21" i="17"/>
  <c r="F21" i="17"/>
  <c r="G21" i="17"/>
  <c r="H21" i="17" s="1"/>
  <c r="P20" i="17"/>
  <c r="M20" i="17"/>
  <c r="N20" i="17" s="1"/>
  <c r="J20" i="17"/>
  <c r="F20" i="17"/>
  <c r="G20" i="17" s="1"/>
  <c r="H20" i="17" s="1"/>
  <c r="P19" i="17"/>
  <c r="M19" i="17"/>
  <c r="N19" i="17" s="1"/>
  <c r="J19" i="17"/>
  <c r="F19" i="17"/>
  <c r="G19" i="17" s="1"/>
  <c r="H19" i="17" s="1"/>
  <c r="P18" i="17"/>
  <c r="M18" i="17"/>
  <c r="N18" i="17" s="1"/>
  <c r="J18" i="17"/>
  <c r="F18" i="17"/>
  <c r="G18" i="17" s="1"/>
  <c r="H18" i="17" s="1"/>
  <c r="P17" i="17"/>
  <c r="Q17" i="17" s="1"/>
  <c r="M17" i="17"/>
  <c r="N17" i="17" s="1"/>
  <c r="J17" i="17"/>
  <c r="K17" i="17" s="1"/>
  <c r="F17" i="17"/>
  <c r="G17" i="17" s="1"/>
  <c r="H17" i="17" s="1"/>
  <c r="P16" i="17"/>
  <c r="Q16" i="17" s="1"/>
  <c r="M16" i="17"/>
  <c r="N16" i="17" s="1"/>
  <c r="J16" i="17"/>
  <c r="F16" i="17"/>
  <c r="G16" i="17" s="1"/>
  <c r="H16" i="17" s="1"/>
  <c r="P15" i="17"/>
  <c r="M15" i="17"/>
  <c r="N15" i="17" s="1"/>
  <c r="Q15" i="17" s="1"/>
  <c r="J15" i="17"/>
  <c r="F15" i="17"/>
  <c r="G15" i="17" s="1"/>
  <c r="H15" i="17" s="1"/>
  <c r="K15" i="17" s="1"/>
  <c r="P14" i="17"/>
  <c r="Q14" i="17"/>
  <c r="M14" i="17"/>
  <c r="N14" i="17" s="1"/>
  <c r="J14" i="17"/>
  <c r="F14" i="17"/>
  <c r="G14" i="17" s="1"/>
  <c r="H14" i="17" s="1"/>
  <c r="P13" i="17"/>
  <c r="M13" i="17"/>
  <c r="N13" i="17" s="1"/>
  <c r="J13" i="17"/>
  <c r="F13" i="17"/>
  <c r="G13" i="17" s="1"/>
  <c r="P12" i="17"/>
  <c r="M12" i="17"/>
  <c r="N12" i="17" s="1"/>
  <c r="Q12" i="17" s="1"/>
  <c r="J12" i="17"/>
  <c r="K12" i="17"/>
  <c r="F12" i="17"/>
  <c r="G12" i="17" s="1"/>
  <c r="H12" i="17" s="1"/>
  <c r="P11" i="17"/>
  <c r="M11" i="17"/>
  <c r="N11" i="17"/>
  <c r="Q11" i="17" s="1"/>
  <c r="J11" i="17"/>
  <c r="F11" i="17"/>
  <c r="G11" i="17" s="1"/>
  <c r="H11" i="17" s="1"/>
  <c r="P10" i="17"/>
  <c r="Q10" i="17" s="1"/>
  <c r="M10" i="17"/>
  <c r="N10" i="17" s="1"/>
  <c r="J10" i="17"/>
  <c r="K10" i="17"/>
  <c r="F10" i="17"/>
  <c r="G10" i="17" s="1"/>
  <c r="H10" i="17" s="1"/>
  <c r="P9" i="17"/>
  <c r="M9" i="17"/>
  <c r="N9" i="17"/>
  <c r="J9" i="17"/>
  <c r="F9" i="17"/>
  <c r="G9" i="17" s="1"/>
  <c r="H9" i="17" s="1"/>
  <c r="P8" i="17"/>
  <c r="M8" i="17"/>
  <c r="N8" i="17" s="1"/>
  <c r="J8" i="17"/>
  <c r="F8" i="17"/>
  <c r="G8" i="17" s="1"/>
  <c r="H8" i="17" s="1"/>
  <c r="P7" i="17"/>
  <c r="M7" i="17"/>
  <c r="N7" i="17" s="1"/>
  <c r="J7" i="17"/>
  <c r="F7" i="17"/>
  <c r="G7" i="17" s="1"/>
  <c r="H7" i="17" s="1"/>
  <c r="E38" i="15"/>
  <c r="H38" i="15"/>
  <c r="K38" i="15"/>
  <c r="O38" i="15" s="1"/>
  <c r="N38" i="15"/>
  <c r="O36" i="15"/>
  <c r="L36" i="15"/>
  <c r="M36" i="15" s="1"/>
  <c r="I36" i="15"/>
  <c r="F36" i="15"/>
  <c r="G36" i="15" s="1"/>
  <c r="O35" i="15"/>
  <c r="P35" i="15" s="1"/>
  <c r="L35" i="15"/>
  <c r="M35" i="15" s="1"/>
  <c r="I35" i="15"/>
  <c r="F35" i="15"/>
  <c r="G35" i="15"/>
  <c r="O34" i="15"/>
  <c r="L34" i="15"/>
  <c r="M34" i="15" s="1"/>
  <c r="P34" i="15" s="1"/>
  <c r="I34" i="15"/>
  <c r="F34" i="15"/>
  <c r="G34" i="15" s="1"/>
  <c r="O33" i="15"/>
  <c r="P33" i="15"/>
  <c r="L33" i="15"/>
  <c r="M33" i="15" s="1"/>
  <c r="I33" i="15"/>
  <c r="J33" i="15" s="1"/>
  <c r="F33" i="15"/>
  <c r="G33" i="15" s="1"/>
  <c r="O32" i="15"/>
  <c r="L32" i="15"/>
  <c r="M32" i="15" s="1"/>
  <c r="P32" i="15" s="1"/>
  <c r="I32" i="15"/>
  <c r="F32" i="15"/>
  <c r="G32" i="15" s="1"/>
  <c r="O31" i="15"/>
  <c r="P31" i="15" s="1"/>
  <c r="L31" i="15"/>
  <c r="M31" i="15" s="1"/>
  <c r="I31" i="15"/>
  <c r="J31" i="15" s="1"/>
  <c r="F31" i="15"/>
  <c r="G31" i="15" s="1"/>
  <c r="O30" i="15"/>
  <c r="L30" i="15"/>
  <c r="M30" i="15"/>
  <c r="I30" i="15"/>
  <c r="F30" i="15"/>
  <c r="G30" i="15" s="1"/>
  <c r="O29" i="15"/>
  <c r="L29" i="15"/>
  <c r="M29" i="15" s="1"/>
  <c r="P29" i="15" s="1"/>
  <c r="I29" i="15"/>
  <c r="F29" i="15"/>
  <c r="G29" i="15" s="1"/>
  <c r="O28" i="15"/>
  <c r="L28" i="15"/>
  <c r="M28" i="15" s="1"/>
  <c r="I28" i="15"/>
  <c r="F28" i="15"/>
  <c r="G28" i="15" s="1"/>
  <c r="O27" i="15"/>
  <c r="L27" i="15"/>
  <c r="M27" i="15" s="1"/>
  <c r="I27" i="15"/>
  <c r="J27" i="15" s="1"/>
  <c r="F27" i="15"/>
  <c r="G27" i="15" s="1"/>
  <c r="O26" i="15"/>
  <c r="L26" i="15"/>
  <c r="M26" i="15"/>
  <c r="I26" i="15"/>
  <c r="F26" i="15"/>
  <c r="G26" i="15" s="1"/>
  <c r="O25" i="15"/>
  <c r="L25" i="15"/>
  <c r="M25" i="15" s="1"/>
  <c r="I25" i="15"/>
  <c r="J25" i="15" s="1"/>
  <c r="F25" i="15"/>
  <c r="G25" i="15" s="1"/>
  <c r="O24" i="15"/>
  <c r="P24" i="15"/>
  <c r="L24" i="15"/>
  <c r="M24" i="15" s="1"/>
  <c r="I24" i="15"/>
  <c r="J24" i="15" s="1"/>
  <c r="F24" i="15"/>
  <c r="G24" i="15" s="1"/>
  <c r="O23" i="15"/>
  <c r="L23" i="15"/>
  <c r="M23" i="15" s="1"/>
  <c r="I23" i="15"/>
  <c r="F23" i="15"/>
  <c r="G23" i="15" s="1"/>
  <c r="O22" i="15"/>
  <c r="L22" i="15"/>
  <c r="M22" i="15" s="1"/>
  <c r="I22" i="15"/>
  <c r="F22" i="15"/>
  <c r="G22" i="15" s="1"/>
  <c r="O21" i="15"/>
  <c r="L21" i="15"/>
  <c r="M21" i="15" s="1"/>
  <c r="I21" i="15"/>
  <c r="F21" i="15"/>
  <c r="G21" i="15" s="1"/>
  <c r="O20" i="15"/>
  <c r="L20" i="15"/>
  <c r="M20" i="15" s="1"/>
  <c r="I20" i="15"/>
  <c r="J20" i="15"/>
  <c r="F20" i="15"/>
  <c r="G20" i="15" s="1"/>
  <c r="O19" i="15"/>
  <c r="L19" i="15"/>
  <c r="M19" i="15" s="1"/>
  <c r="I19" i="15"/>
  <c r="F19" i="15"/>
  <c r="G19" i="15" s="1"/>
  <c r="O18" i="15"/>
  <c r="P18" i="15" s="1"/>
  <c r="L18" i="15"/>
  <c r="M18" i="15" s="1"/>
  <c r="I18" i="15"/>
  <c r="F18" i="15"/>
  <c r="G18" i="15"/>
  <c r="O17" i="15"/>
  <c r="L17" i="15"/>
  <c r="M17" i="15" s="1"/>
  <c r="I17" i="15"/>
  <c r="F17" i="15"/>
  <c r="G17" i="15" s="1"/>
  <c r="O16" i="15"/>
  <c r="L16" i="15"/>
  <c r="M16" i="15" s="1"/>
  <c r="I16" i="15"/>
  <c r="J16" i="15" s="1"/>
  <c r="F16" i="15"/>
  <c r="G16" i="15" s="1"/>
  <c r="O15" i="15"/>
  <c r="L15" i="15"/>
  <c r="M15" i="15"/>
  <c r="I15" i="15"/>
  <c r="F15" i="15"/>
  <c r="G15" i="15" s="1"/>
  <c r="O14" i="15"/>
  <c r="L14" i="15"/>
  <c r="M14" i="15" s="1"/>
  <c r="P14" i="15" s="1"/>
  <c r="I14" i="15"/>
  <c r="F14" i="15"/>
  <c r="G14" i="15" s="1"/>
  <c r="O13" i="15"/>
  <c r="L13" i="15"/>
  <c r="M13" i="15" s="1"/>
  <c r="I13" i="15"/>
  <c r="J13" i="15" s="1"/>
  <c r="F13" i="15"/>
  <c r="G13" i="15" s="1"/>
  <c r="O12" i="15"/>
  <c r="L12" i="15"/>
  <c r="M12" i="15" s="1"/>
  <c r="I12" i="15"/>
  <c r="F12" i="15"/>
  <c r="G12" i="15" s="1"/>
  <c r="O11" i="15"/>
  <c r="L11" i="15"/>
  <c r="M11" i="15" s="1"/>
  <c r="I11" i="15"/>
  <c r="J11" i="15" s="1"/>
  <c r="F11" i="15"/>
  <c r="G11" i="15" s="1"/>
  <c r="O10" i="15"/>
  <c r="L10" i="15"/>
  <c r="M10" i="15"/>
  <c r="I10" i="15"/>
  <c r="J10" i="15"/>
  <c r="F10" i="15"/>
  <c r="G10" i="15" s="1"/>
  <c r="O9" i="15"/>
  <c r="L9" i="15"/>
  <c r="M9" i="15" s="1"/>
  <c r="P9" i="15" s="1"/>
  <c r="I9" i="15"/>
  <c r="J9" i="15"/>
  <c r="F9" i="15"/>
  <c r="G9" i="15" s="1"/>
  <c r="O8" i="15"/>
  <c r="P8" i="15" s="1"/>
  <c r="L8" i="15"/>
  <c r="M8" i="15" s="1"/>
  <c r="I8" i="15"/>
  <c r="J8" i="15" s="1"/>
  <c r="F8" i="15"/>
  <c r="G8" i="15"/>
  <c r="O7" i="15"/>
  <c r="P7" i="15"/>
  <c r="L7" i="15"/>
  <c r="M7" i="15" s="1"/>
  <c r="I7" i="15"/>
  <c r="J7" i="15" s="1"/>
  <c r="F7" i="15"/>
  <c r="G7" i="15" s="1"/>
  <c r="E38" i="3"/>
  <c r="H38" i="3"/>
  <c r="K38" i="3"/>
  <c r="N38" i="3"/>
  <c r="O38" i="3" s="1"/>
  <c r="O36" i="3"/>
  <c r="P36" i="3"/>
  <c r="L36" i="3"/>
  <c r="M36" i="3" s="1"/>
  <c r="I36" i="3"/>
  <c r="J36" i="3" s="1"/>
  <c r="F36" i="3"/>
  <c r="G36" i="3" s="1"/>
  <c r="O35" i="3"/>
  <c r="L35" i="3"/>
  <c r="M35" i="3" s="1"/>
  <c r="P35" i="3" s="1"/>
  <c r="I35" i="3"/>
  <c r="J35" i="3"/>
  <c r="F35" i="3"/>
  <c r="G35" i="3" s="1"/>
  <c r="O34" i="3"/>
  <c r="P34" i="3" s="1"/>
  <c r="L34" i="3"/>
  <c r="M34" i="3" s="1"/>
  <c r="I34" i="3"/>
  <c r="F34" i="3"/>
  <c r="G34" i="3" s="1"/>
  <c r="O33" i="3"/>
  <c r="L33" i="3"/>
  <c r="M33" i="3" s="1"/>
  <c r="I33" i="3"/>
  <c r="F33" i="3"/>
  <c r="G33" i="3" s="1"/>
  <c r="O32" i="3"/>
  <c r="P32" i="3" s="1"/>
  <c r="L32" i="3"/>
  <c r="M32" i="3" s="1"/>
  <c r="I32" i="3"/>
  <c r="F32" i="3"/>
  <c r="G32" i="3"/>
  <c r="O31" i="3"/>
  <c r="L31" i="3"/>
  <c r="M31" i="3" s="1"/>
  <c r="P31" i="3" s="1"/>
  <c r="I31" i="3"/>
  <c r="F31" i="3"/>
  <c r="G31" i="3" s="1"/>
  <c r="O30" i="3"/>
  <c r="L30" i="3"/>
  <c r="M30" i="3" s="1"/>
  <c r="I30" i="3"/>
  <c r="F30" i="3"/>
  <c r="G30" i="3" s="1"/>
  <c r="J30" i="3" s="1"/>
  <c r="O29" i="3"/>
  <c r="L29" i="3"/>
  <c r="M29" i="3" s="1"/>
  <c r="P29" i="3" s="1"/>
  <c r="I29" i="3"/>
  <c r="J29" i="3"/>
  <c r="F29" i="3"/>
  <c r="G29" i="3" s="1"/>
  <c r="O28" i="3"/>
  <c r="L28" i="3"/>
  <c r="M28" i="3" s="1"/>
  <c r="I28" i="3"/>
  <c r="F28" i="3"/>
  <c r="G28" i="3" s="1"/>
  <c r="O27" i="3"/>
  <c r="P27" i="3" s="1"/>
  <c r="L27" i="3"/>
  <c r="M27" i="3" s="1"/>
  <c r="I27" i="3"/>
  <c r="J27" i="3" s="1"/>
  <c r="F27" i="3"/>
  <c r="G27" i="3" s="1"/>
  <c r="O26" i="3"/>
  <c r="L26" i="3"/>
  <c r="M26" i="3" s="1"/>
  <c r="P26" i="3" s="1"/>
  <c r="I26" i="3"/>
  <c r="J26" i="3" s="1"/>
  <c r="F26" i="3"/>
  <c r="G26" i="3" s="1"/>
  <c r="O25" i="3"/>
  <c r="L25" i="3"/>
  <c r="M25" i="3" s="1"/>
  <c r="I25" i="3"/>
  <c r="F25" i="3"/>
  <c r="G25" i="3" s="1"/>
  <c r="O24" i="3"/>
  <c r="L24" i="3"/>
  <c r="M24" i="3" s="1"/>
  <c r="I24" i="3"/>
  <c r="F24" i="3"/>
  <c r="G24" i="3"/>
  <c r="J24" i="3" s="1"/>
  <c r="O23" i="3"/>
  <c r="L23" i="3"/>
  <c r="M23" i="3" s="1"/>
  <c r="I23" i="3"/>
  <c r="F23" i="3"/>
  <c r="G23" i="3" s="1"/>
  <c r="O22" i="3"/>
  <c r="P22" i="3" s="1"/>
  <c r="L22" i="3"/>
  <c r="M22" i="3" s="1"/>
  <c r="I22" i="3"/>
  <c r="F22" i="3"/>
  <c r="G22" i="3" s="1"/>
  <c r="O21" i="3"/>
  <c r="L21" i="3"/>
  <c r="M21" i="3" s="1"/>
  <c r="I21" i="3"/>
  <c r="F21" i="3"/>
  <c r="G21" i="3" s="1"/>
  <c r="O20" i="3"/>
  <c r="P20" i="3" s="1"/>
  <c r="L20" i="3"/>
  <c r="M20" i="3" s="1"/>
  <c r="I20" i="3"/>
  <c r="F20" i="3"/>
  <c r="G20" i="3" s="1"/>
  <c r="O19" i="3"/>
  <c r="P19" i="3" s="1"/>
  <c r="L19" i="3"/>
  <c r="M19" i="3" s="1"/>
  <c r="I19" i="3"/>
  <c r="F19" i="3"/>
  <c r="G19" i="3" s="1"/>
  <c r="J19" i="3" s="1"/>
  <c r="O18" i="3"/>
  <c r="L18" i="3"/>
  <c r="M18" i="3" s="1"/>
  <c r="I18" i="3"/>
  <c r="F18" i="3"/>
  <c r="G18" i="3" s="1"/>
  <c r="O17" i="3"/>
  <c r="L17" i="3"/>
  <c r="M17" i="3" s="1"/>
  <c r="I17" i="3"/>
  <c r="F17" i="3"/>
  <c r="G17" i="3" s="1"/>
  <c r="O16" i="3"/>
  <c r="L16" i="3"/>
  <c r="M16" i="3" s="1"/>
  <c r="I16" i="3"/>
  <c r="J16" i="3" s="1"/>
  <c r="F16" i="3"/>
  <c r="G16" i="3" s="1"/>
  <c r="O15" i="3"/>
  <c r="L15" i="3"/>
  <c r="M15" i="3" s="1"/>
  <c r="I15" i="3"/>
  <c r="F15" i="3"/>
  <c r="G15" i="3"/>
  <c r="O14" i="3"/>
  <c r="L14" i="3"/>
  <c r="M14" i="3" s="1"/>
  <c r="I14" i="3"/>
  <c r="J14" i="3" s="1"/>
  <c r="F14" i="3"/>
  <c r="G14" i="3" s="1"/>
  <c r="O13" i="3"/>
  <c r="L13" i="3"/>
  <c r="M13" i="3" s="1"/>
  <c r="I13" i="3"/>
  <c r="F13" i="3"/>
  <c r="G13" i="3" s="1"/>
  <c r="O12" i="3"/>
  <c r="L12" i="3"/>
  <c r="M12" i="3" s="1"/>
  <c r="I12" i="3"/>
  <c r="F12" i="3"/>
  <c r="G12" i="3" s="1"/>
  <c r="O11" i="3"/>
  <c r="L11" i="3"/>
  <c r="M11" i="3"/>
  <c r="P11" i="3" s="1"/>
  <c r="I11" i="3"/>
  <c r="F11" i="3"/>
  <c r="G11" i="3" s="1"/>
  <c r="O10" i="3"/>
  <c r="L10" i="3"/>
  <c r="M10" i="3"/>
  <c r="I10" i="3"/>
  <c r="J10" i="3" s="1"/>
  <c r="F10" i="3"/>
  <c r="G10" i="3" s="1"/>
  <c r="O9" i="3"/>
  <c r="L9" i="3"/>
  <c r="M9" i="3" s="1"/>
  <c r="I9" i="3"/>
  <c r="J9" i="3" s="1"/>
  <c r="F9" i="3"/>
  <c r="G9" i="3" s="1"/>
  <c r="O8" i="3"/>
  <c r="P8" i="3"/>
  <c r="L8" i="3"/>
  <c r="M8" i="3" s="1"/>
  <c r="I8" i="3"/>
  <c r="F8" i="3"/>
  <c r="G8" i="3"/>
  <c r="O7" i="3"/>
  <c r="P7" i="3" s="1"/>
  <c r="L7" i="3"/>
  <c r="M7" i="3" s="1"/>
  <c r="I7" i="3"/>
  <c r="F7" i="3"/>
  <c r="G7" i="3" s="1"/>
  <c r="E38" i="12"/>
  <c r="H38" i="12"/>
  <c r="K38" i="12"/>
  <c r="N38" i="12"/>
  <c r="O36" i="12"/>
  <c r="L36" i="12"/>
  <c r="M36" i="12" s="1"/>
  <c r="P36" i="12" s="1"/>
  <c r="I36" i="12"/>
  <c r="F36" i="12"/>
  <c r="G36" i="12" s="1"/>
  <c r="O35" i="12"/>
  <c r="L35" i="12"/>
  <c r="M35" i="12" s="1"/>
  <c r="I35" i="12"/>
  <c r="J35" i="12" s="1"/>
  <c r="F35" i="12"/>
  <c r="G35" i="12" s="1"/>
  <c r="O34" i="12"/>
  <c r="L34" i="12"/>
  <c r="M34" i="12"/>
  <c r="I34" i="12"/>
  <c r="F34" i="12"/>
  <c r="G34" i="12" s="1"/>
  <c r="O33" i="12"/>
  <c r="P33" i="12"/>
  <c r="L33" i="12"/>
  <c r="M33" i="12" s="1"/>
  <c r="I33" i="12"/>
  <c r="F33" i="12"/>
  <c r="G33" i="12" s="1"/>
  <c r="O32" i="12"/>
  <c r="L32" i="12"/>
  <c r="M32" i="12"/>
  <c r="P32" i="12" s="1"/>
  <c r="I32" i="12"/>
  <c r="F32" i="12"/>
  <c r="G32" i="12" s="1"/>
  <c r="O31" i="12"/>
  <c r="L31" i="12"/>
  <c r="M31" i="12" s="1"/>
  <c r="I31" i="12"/>
  <c r="F31" i="12"/>
  <c r="G31" i="12" s="1"/>
  <c r="O30" i="12"/>
  <c r="L30" i="12"/>
  <c r="M30" i="12" s="1"/>
  <c r="P30" i="12" s="1"/>
  <c r="I30" i="12"/>
  <c r="F30" i="12"/>
  <c r="G30" i="12" s="1"/>
  <c r="J30" i="12" s="1"/>
  <c r="O29" i="12"/>
  <c r="L29" i="12"/>
  <c r="M29" i="12" s="1"/>
  <c r="P29" i="12" s="1"/>
  <c r="I29" i="12"/>
  <c r="J29" i="12"/>
  <c r="F29" i="12"/>
  <c r="G29" i="12" s="1"/>
  <c r="O28" i="12"/>
  <c r="L28" i="12"/>
  <c r="M28" i="12" s="1"/>
  <c r="I28" i="12"/>
  <c r="J28" i="12" s="1"/>
  <c r="F28" i="12"/>
  <c r="G28" i="12"/>
  <c r="O27" i="12"/>
  <c r="L27" i="12"/>
  <c r="M27" i="12" s="1"/>
  <c r="I27" i="12"/>
  <c r="F27" i="12"/>
  <c r="G27" i="12" s="1"/>
  <c r="J27" i="12" s="1"/>
  <c r="O26" i="12"/>
  <c r="L26" i="12"/>
  <c r="M26" i="12" s="1"/>
  <c r="P26" i="12" s="1"/>
  <c r="I26" i="12"/>
  <c r="F26" i="12"/>
  <c r="G26" i="12" s="1"/>
  <c r="O25" i="12"/>
  <c r="L25" i="12"/>
  <c r="M25" i="12" s="1"/>
  <c r="I25" i="12"/>
  <c r="F25" i="12"/>
  <c r="G25" i="12" s="1"/>
  <c r="J25" i="12" s="1"/>
  <c r="O24" i="12"/>
  <c r="L24" i="12"/>
  <c r="M24" i="12" s="1"/>
  <c r="P24" i="12" s="1"/>
  <c r="I24" i="12"/>
  <c r="F24" i="12"/>
  <c r="G24" i="12" s="1"/>
  <c r="O23" i="12"/>
  <c r="L23" i="12"/>
  <c r="M23" i="12"/>
  <c r="P23" i="12" s="1"/>
  <c r="I23" i="12"/>
  <c r="F23" i="12"/>
  <c r="G23" i="12" s="1"/>
  <c r="O22" i="12"/>
  <c r="L22" i="12"/>
  <c r="M22" i="12" s="1"/>
  <c r="I22" i="12"/>
  <c r="J22" i="12" s="1"/>
  <c r="F22" i="12"/>
  <c r="G22" i="12" s="1"/>
  <c r="O21" i="12"/>
  <c r="L21" i="12"/>
  <c r="M21" i="12" s="1"/>
  <c r="I21" i="12"/>
  <c r="F21" i="12"/>
  <c r="G21" i="12" s="1"/>
  <c r="O20" i="12"/>
  <c r="P20" i="12" s="1"/>
  <c r="L20" i="12"/>
  <c r="M20" i="12" s="1"/>
  <c r="I20" i="12"/>
  <c r="J20" i="12" s="1"/>
  <c r="F20" i="12"/>
  <c r="G20" i="12" s="1"/>
  <c r="O19" i="12"/>
  <c r="L19" i="12"/>
  <c r="M19" i="12" s="1"/>
  <c r="I19" i="12"/>
  <c r="F19" i="12"/>
  <c r="G19" i="12" s="1"/>
  <c r="O18" i="12"/>
  <c r="L18" i="12"/>
  <c r="M18" i="12" s="1"/>
  <c r="I18" i="12"/>
  <c r="J18" i="12" s="1"/>
  <c r="F18" i="12"/>
  <c r="G18" i="12" s="1"/>
  <c r="O17" i="12"/>
  <c r="L17" i="12"/>
  <c r="M17" i="12" s="1"/>
  <c r="I17" i="12"/>
  <c r="J17" i="12" s="1"/>
  <c r="F17" i="12"/>
  <c r="G17" i="12" s="1"/>
  <c r="O16" i="12"/>
  <c r="L16" i="12"/>
  <c r="M16" i="12" s="1"/>
  <c r="I16" i="12"/>
  <c r="F16" i="12"/>
  <c r="G16" i="12" s="1"/>
  <c r="O15" i="12"/>
  <c r="L15" i="12"/>
  <c r="M15" i="12" s="1"/>
  <c r="I15" i="12"/>
  <c r="F15" i="12"/>
  <c r="G15" i="12" s="1"/>
  <c r="O14" i="12"/>
  <c r="L14" i="12"/>
  <c r="M14" i="12" s="1"/>
  <c r="P14" i="12" s="1"/>
  <c r="I14" i="12"/>
  <c r="F14" i="12"/>
  <c r="G14" i="12" s="1"/>
  <c r="O13" i="12"/>
  <c r="P13" i="12"/>
  <c r="L13" i="12"/>
  <c r="M13" i="12" s="1"/>
  <c r="I13" i="12"/>
  <c r="F13" i="12"/>
  <c r="G13" i="12" s="1"/>
  <c r="O12" i="12"/>
  <c r="L12" i="12"/>
  <c r="M12" i="12" s="1"/>
  <c r="I12" i="12"/>
  <c r="J12" i="12" s="1"/>
  <c r="F12" i="12"/>
  <c r="G12" i="12" s="1"/>
  <c r="O11" i="12"/>
  <c r="L11" i="12"/>
  <c r="M11" i="12" s="1"/>
  <c r="P11" i="12" s="1"/>
  <c r="I11" i="12"/>
  <c r="F11" i="12"/>
  <c r="G11" i="12" s="1"/>
  <c r="O10" i="12"/>
  <c r="L10" i="12"/>
  <c r="M10" i="12" s="1"/>
  <c r="I10" i="12"/>
  <c r="F10" i="12"/>
  <c r="G10" i="12" s="1"/>
  <c r="O9" i="12"/>
  <c r="P9" i="12" s="1"/>
  <c r="L9" i="12"/>
  <c r="M9" i="12" s="1"/>
  <c r="I9" i="12"/>
  <c r="F9" i="12"/>
  <c r="G9" i="12" s="1"/>
  <c r="O8" i="12"/>
  <c r="L8" i="12"/>
  <c r="M8" i="12" s="1"/>
  <c r="I8" i="12"/>
  <c r="J8" i="12" s="1"/>
  <c r="F8" i="12"/>
  <c r="G8" i="12" s="1"/>
  <c r="O7" i="12"/>
  <c r="L7" i="12"/>
  <c r="M7" i="12" s="1"/>
  <c r="I7" i="12"/>
  <c r="J7" i="12" s="1"/>
  <c r="F7" i="12"/>
  <c r="G7" i="12" s="1"/>
  <c r="E38" i="6"/>
  <c r="I38" i="6" s="1"/>
  <c r="H38" i="6"/>
  <c r="K38" i="6"/>
  <c r="N38" i="6"/>
  <c r="O36" i="6"/>
  <c r="L36" i="6"/>
  <c r="M36" i="6" s="1"/>
  <c r="I36" i="6"/>
  <c r="J36" i="6" s="1"/>
  <c r="F36" i="6"/>
  <c r="G36" i="6" s="1"/>
  <c r="O35" i="6"/>
  <c r="L35" i="6"/>
  <c r="M35" i="6" s="1"/>
  <c r="I35" i="6"/>
  <c r="J35" i="6" s="1"/>
  <c r="F35" i="6"/>
  <c r="G35" i="6" s="1"/>
  <c r="O34" i="6"/>
  <c r="L34" i="6"/>
  <c r="M34" i="6" s="1"/>
  <c r="I34" i="6"/>
  <c r="F34" i="6"/>
  <c r="G34" i="6" s="1"/>
  <c r="O33" i="6"/>
  <c r="L33" i="6"/>
  <c r="M33" i="6" s="1"/>
  <c r="I33" i="6"/>
  <c r="F33" i="6"/>
  <c r="G33" i="6" s="1"/>
  <c r="O32" i="6"/>
  <c r="L32" i="6"/>
  <c r="M32" i="6" s="1"/>
  <c r="P32" i="6" s="1"/>
  <c r="I32" i="6"/>
  <c r="F32" i="6"/>
  <c r="G32" i="6" s="1"/>
  <c r="O31" i="6"/>
  <c r="L31" i="6"/>
  <c r="M31" i="6" s="1"/>
  <c r="I31" i="6"/>
  <c r="F31" i="6"/>
  <c r="G31" i="6" s="1"/>
  <c r="O30" i="6"/>
  <c r="L30" i="6"/>
  <c r="M30" i="6" s="1"/>
  <c r="I30" i="6"/>
  <c r="F30" i="6"/>
  <c r="G30" i="6" s="1"/>
  <c r="O29" i="6"/>
  <c r="P29" i="6"/>
  <c r="L29" i="6"/>
  <c r="M29" i="6" s="1"/>
  <c r="I29" i="6"/>
  <c r="F29" i="6"/>
  <c r="G29" i="6" s="1"/>
  <c r="O28" i="6"/>
  <c r="P28" i="6" s="1"/>
  <c r="L28" i="6"/>
  <c r="M28" i="6" s="1"/>
  <c r="I28" i="6"/>
  <c r="F28" i="6"/>
  <c r="G28" i="6" s="1"/>
  <c r="O27" i="6"/>
  <c r="L27" i="6"/>
  <c r="M27" i="6" s="1"/>
  <c r="I27" i="6"/>
  <c r="F27" i="6"/>
  <c r="G27" i="6" s="1"/>
  <c r="O26" i="6"/>
  <c r="L26" i="6"/>
  <c r="M26" i="6" s="1"/>
  <c r="I26" i="6"/>
  <c r="F26" i="6"/>
  <c r="G26" i="6" s="1"/>
  <c r="O25" i="6"/>
  <c r="L25" i="6"/>
  <c r="M25" i="6" s="1"/>
  <c r="I25" i="6"/>
  <c r="F25" i="6"/>
  <c r="G25" i="6" s="1"/>
  <c r="O24" i="6"/>
  <c r="L24" i="6"/>
  <c r="M24" i="6" s="1"/>
  <c r="I24" i="6"/>
  <c r="J24" i="6" s="1"/>
  <c r="F24" i="6"/>
  <c r="G24" i="6" s="1"/>
  <c r="O23" i="6"/>
  <c r="L23" i="6"/>
  <c r="M23" i="6" s="1"/>
  <c r="I23" i="6"/>
  <c r="F23" i="6"/>
  <c r="G23" i="6" s="1"/>
  <c r="O22" i="6"/>
  <c r="L22" i="6"/>
  <c r="M22" i="6" s="1"/>
  <c r="I22" i="6"/>
  <c r="J22" i="6" s="1"/>
  <c r="F22" i="6"/>
  <c r="G22" i="6" s="1"/>
  <c r="O21" i="6"/>
  <c r="L21" i="6"/>
  <c r="M21" i="6" s="1"/>
  <c r="I21" i="6"/>
  <c r="F21" i="6"/>
  <c r="G21" i="6" s="1"/>
  <c r="O20" i="6"/>
  <c r="P20" i="6" s="1"/>
  <c r="L20" i="6"/>
  <c r="M20" i="6" s="1"/>
  <c r="I20" i="6"/>
  <c r="F20" i="6"/>
  <c r="G20" i="6" s="1"/>
  <c r="O19" i="6"/>
  <c r="P19" i="6" s="1"/>
  <c r="L19" i="6"/>
  <c r="M19" i="6" s="1"/>
  <c r="I19" i="6"/>
  <c r="F19" i="6"/>
  <c r="G19" i="6" s="1"/>
  <c r="O18" i="6"/>
  <c r="L18" i="6"/>
  <c r="M18" i="6" s="1"/>
  <c r="P18" i="6" s="1"/>
  <c r="I18" i="6"/>
  <c r="F18" i="6"/>
  <c r="G18" i="6" s="1"/>
  <c r="O17" i="6"/>
  <c r="L17" i="6"/>
  <c r="M17" i="6" s="1"/>
  <c r="I17" i="6"/>
  <c r="F17" i="6"/>
  <c r="G17" i="6" s="1"/>
  <c r="O16" i="6"/>
  <c r="L16" i="6"/>
  <c r="M16" i="6" s="1"/>
  <c r="P16" i="6" s="1"/>
  <c r="I16" i="6"/>
  <c r="F16" i="6"/>
  <c r="G16" i="6" s="1"/>
  <c r="O15" i="6"/>
  <c r="L15" i="6"/>
  <c r="M15" i="6" s="1"/>
  <c r="I15" i="6"/>
  <c r="F15" i="6"/>
  <c r="G15" i="6" s="1"/>
  <c r="O14" i="6"/>
  <c r="L14" i="6"/>
  <c r="M14" i="6" s="1"/>
  <c r="P14" i="6" s="1"/>
  <c r="I14" i="6"/>
  <c r="F14" i="6"/>
  <c r="G14" i="6" s="1"/>
  <c r="O13" i="6"/>
  <c r="L13" i="6"/>
  <c r="M13" i="6" s="1"/>
  <c r="P13" i="6" s="1"/>
  <c r="I13" i="6"/>
  <c r="F13" i="6"/>
  <c r="G13" i="6" s="1"/>
  <c r="O12" i="6"/>
  <c r="L12" i="6"/>
  <c r="M12" i="6" s="1"/>
  <c r="I12" i="6"/>
  <c r="F12" i="6"/>
  <c r="G12" i="6" s="1"/>
  <c r="O11" i="6"/>
  <c r="L11" i="6"/>
  <c r="M11" i="6" s="1"/>
  <c r="I11" i="6"/>
  <c r="F11" i="6"/>
  <c r="G11" i="6" s="1"/>
  <c r="O10" i="6"/>
  <c r="L10" i="6"/>
  <c r="M10" i="6" s="1"/>
  <c r="I10" i="6"/>
  <c r="F10" i="6"/>
  <c r="G10" i="6" s="1"/>
  <c r="O9" i="6"/>
  <c r="L9" i="6"/>
  <c r="M9" i="6" s="1"/>
  <c r="I9" i="6"/>
  <c r="F9" i="6"/>
  <c r="G9" i="6" s="1"/>
  <c r="O8" i="6"/>
  <c r="L8" i="6"/>
  <c r="M8" i="6" s="1"/>
  <c r="I8" i="6"/>
  <c r="F8" i="6"/>
  <c r="G8" i="6" s="1"/>
  <c r="J8" i="6" s="1"/>
  <c r="O7" i="6"/>
  <c r="L7" i="6"/>
  <c r="M7" i="6" s="1"/>
  <c r="I7" i="6"/>
  <c r="F7" i="6"/>
  <c r="G7" i="6" s="1"/>
  <c r="E38" i="7"/>
  <c r="H38" i="7"/>
  <c r="I38" i="7" s="1"/>
  <c r="K38" i="7"/>
  <c r="N38" i="7"/>
  <c r="O36" i="7"/>
  <c r="L36" i="7"/>
  <c r="M36" i="7" s="1"/>
  <c r="P36" i="7" s="1"/>
  <c r="I36" i="7"/>
  <c r="F36" i="7"/>
  <c r="G36" i="7" s="1"/>
  <c r="O35" i="7"/>
  <c r="L35" i="7"/>
  <c r="M35" i="7"/>
  <c r="I35" i="7"/>
  <c r="F35" i="7"/>
  <c r="G35" i="7" s="1"/>
  <c r="O34" i="7"/>
  <c r="L34" i="7"/>
  <c r="M34" i="7" s="1"/>
  <c r="I34" i="7"/>
  <c r="F34" i="7"/>
  <c r="G34" i="7" s="1"/>
  <c r="O33" i="7"/>
  <c r="L33" i="7"/>
  <c r="M33" i="7" s="1"/>
  <c r="P33" i="7" s="1"/>
  <c r="I33" i="7"/>
  <c r="F33" i="7"/>
  <c r="G33" i="7" s="1"/>
  <c r="O32" i="7"/>
  <c r="L32" i="7"/>
  <c r="M32" i="7" s="1"/>
  <c r="P32" i="7" s="1"/>
  <c r="I32" i="7"/>
  <c r="J32" i="7"/>
  <c r="F32" i="7"/>
  <c r="G32" i="7" s="1"/>
  <c r="O31" i="7"/>
  <c r="L31" i="7"/>
  <c r="M31" i="7"/>
  <c r="I31" i="7"/>
  <c r="F31" i="7"/>
  <c r="G31" i="7" s="1"/>
  <c r="O30" i="7"/>
  <c r="P30" i="7" s="1"/>
  <c r="L30" i="7"/>
  <c r="M30" i="7" s="1"/>
  <c r="I30" i="7"/>
  <c r="F30" i="7"/>
  <c r="G30" i="7" s="1"/>
  <c r="O29" i="7"/>
  <c r="L29" i="7"/>
  <c r="M29" i="7" s="1"/>
  <c r="I29" i="7"/>
  <c r="F29" i="7"/>
  <c r="G29" i="7"/>
  <c r="O28" i="7"/>
  <c r="L28" i="7"/>
  <c r="M28" i="7" s="1"/>
  <c r="I28" i="7"/>
  <c r="F28" i="7"/>
  <c r="G28" i="7" s="1"/>
  <c r="J28" i="7" s="1"/>
  <c r="O27" i="7"/>
  <c r="L27" i="7"/>
  <c r="M27" i="7"/>
  <c r="I27" i="7"/>
  <c r="F27" i="7"/>
  <c r="G27" i="7" s="1"/>
  <c r="O26" i="7"/>
  <c r="L26" i="7"/>
  <c r="M26" i="7" s="1"/>
  <c r="I26" i="7"/>
  <c r="F26" i="7"/>
  <c r="G26" i="7" s="1"/>
  <c r="O25" i="7"/>
  <c r="L25" i="7"/>
  <c r="M25" i="7" s="1"/>
  <c r="I25" i="7"/>
  <c r="F25" i="7"/>
  <c r="G25" i="7" s="1"/>
  <c r="O24" i="7"/>
  <c r="L24" i="7"/>
  <c r="M24" i="7" s="1"/>
  <c r="P24" i="7" s="1"/>
  <c r="I24" i="7"/>
  <c r="F24" i="7"/>
  <c r="G24" i="7" s="1"/>
  <c r="O23" i="7"/>
  <c r="L23" i="7"/>
  <c r="M23" i="7" s="1"/>
  <c r="I23" i="7"/>
  <c r="F23" i="7"/>
  <c r="G23" i="7" s="1"/>
  <c r="O22" i="7"/>
  <c r="L22" i="7"/>
  <c r="M22" i="7" s="1"/>
  <c r="I22" i="7"/>
  <c r="F22" i="7"/>
  <c r="G22" i="7" s="1"/>
  <c r="O21" i="7"/>
  <c r="L21" i="7"/>
  <c r="M21" i="7" s="1"/>
  <c r="I21" i="7"/>
  <c r="F21" i="7"/>
  <c r="G21" i="7" s="1"/>
  <c r="O20" i="7"/>
  <c r="L20" i="7"/>
  <c r="M20" i="7" s="1"/>
  <c r="I20" i="7"/>
  <c r="F20" i="7"/>
  <c r="G20" i="7" s="1"/>
  <c r="O19" i="7"/>
  <c r="L19" i="7"/>
  <c r="M19" i="7" s="1"/>
  <c r="I19" i="7"/>
  <c r="J19" i="7" s="1"/>
  <c r="F19" i="7"/>
  <c r="G19" i="7" s="1"/>
  <c r="O18" i="7"/>
  <c r="L18" i="7"/>
  <c r="M18" i="7" s="1"/>
  <c r="P18" i="7" s="1"/>
  <c r="I18" i="7"/>
  <c r="J18" i="7"/>
  <c r="F18" i="7"/>
  <c r="G18" i="7" s="1"/>
  <c r="O17" i="7"/>
  <c r="L17" i="7"/>
  <c r="M17" i="7"/>
  <c r="I17" i="7"/>
  <c r="F17" i="7"/>
  <c r="G17" i="7" s="1"/>
  <c r="O16" i="7"/>
  <c r="L16" i="7"/>
  <c r="M16" i="7" s="1"/>
  <c r="P16" i="7" s="1"/>
  <c r="I16" i="7"/>
  <c r="J16" i="7"/>
  <c r="F16" i="7"/>
  <c r="G16" i="7" s="1"/>
  <c r="O15" i="7"/>
  <c r="L15" i="7"/>
  <c r="M15" i="7" s="1"/>
  <c r="I15" i="7"/>
  <c r="F15" i="7"/>
  <c r="G15" i="7" s="1"/>
  <c r="O14" i="7"/>
  <c r="L14" i="7"/>
  <c r="M14" i="7" s="1"/>
  <c r="I14" i="7"/>
  <c r="J14" i="7" s="1"/>
  <c r="F14" i="7"/>
  <c r="G14" i="7" s="1"/>
  <c r="O13" i="7"/>
  <c r="L13" i="7"/>
  <c r="M13" i="7" s="1"/>
  <c r="P13" i="7" s="1"/>
  <c r="I13" i="7"/>
  <c r="J13" i="7" s="1"/>
  <c r="F13" i="7"/>
  <c r="G13" i="7" s="1"/>
  <c r="O12" i="7"/>
  <c r="L12" i="7"/>
  <c r="M12" i="7" s="1"/>
  <c r="I12" i="7"/>
  <c r="J12" i="7" s="1"/>
  <c r="F12" i="7"/>
  <c r="G12" i="7" s="1"/>
  <c r="O11" i="7"/>
  <c r="P11" i="7"/>
  <c r="L11" i="7"/>
  <c r="M11" i="7" s="1"/>
  <c r="I11" i="7"/>
  <c r="F11" i="7"/>
  <c r="G11" i="7" s="1"/>
  <c r="O10" i="7"/>
  <c r="L10" i="7"/>
  <c r="M10" i="7"/>
  <c r="I10" i="7"/>
  <c r="F10" i="7"/>
  <c r="G10" i="7" s="1"/>
  <c r="O9" i="7"/>
  <c r="L9" i="7"/>
  <c r="M9" i="7" s="1"/>
  <c r="P9" i="7" s="1"/>
  <c r="I9" i="7"/>
  <c r="J9" i="7" s="1"/>
  <c r="F9" i="7"/>
  <c r="G9" i="7" s="1"/>
  <c r="O8" i="7"/>
  <c r="L8" i="7"/>
  <c r="M8" i="7" s="1"/>
  <c r="I8" i="7"/>
  <c r="J8" i="7" s="1"/>
  <c r="F8" i="7"/>
  <c r="G8" i="7" s="1"/>
  <c r="O7" i="7"/>
  <c r="L7" i="7"/>
  <c r="M7" i="7" s="1"/>
  <c r="I7" i="7"/>
  <c r="J7" i="7" s="1"/>
  <c r="F7" i="7"/>
  <c r="G7" i="7"/>
  <c r="E38" i="8"/>
  <c r="H38" i="8"/>
  <c r="K38" i="8"/>
  <c r="N38" i="8"/>
  <c r="O36" i="8"/>
  <c r="L36" i="8"/>
  <c r="M36" i="8" s="1"/>
  <c r="I36" i="8"/>
  <c r="F36" i="8"/>
  <c r="G36" i="8" s="1"/>
  <c r="O35" i="8"/>
  <c r="L35" i="8"/>
  <c r="M35" i="8" s="1"/>
  <c r="I35" i="8"/>
  <c r="F35" i="8"/>
  <c r="G35" i="8"/>
  <c r="O34" i="8"/>
  <c r="L34" i="8"/>
  <c r="M34" i="8" s="1"/>
  <c r="P34" i="8" s="1"/>
  <c r="I34" i="8"/>
  <c r="F34" i="8"/>
  <c r="G34" i="8" s="1"/>
  <c r="J34" i="8" s="1"/>
  <c r="O33" i="8"/>
  <c r="L33" i="8"/>
  <c r="M33" i="8" s="1"/>
  <c r="I33" i="8"/>
  <c r="J33" i="8" s="1"/>
  <c r="F33" i="8"/>
  <c r="G33" i="8" s="1"/>
  <c r="O32" i="8"/>
  <c r="L32" i="8"/>
  <c r="M32" i="8" s="1"/>
  <c r="I32" i="8"/>
  <c r="F32" i="8"/>
  <c r="G32" i="8" s="1"/>
  <c r="O31" i="8"/>
  <c r="L31" i="8"/>
  <c r="M31" i="8" s="1"/>
  <c r="I31" i="8"/>
  <c r="J31" i="8" s="1"/>
  <c r="F31" i="8"/>
  <c r="G31" i="8" s="1"/>
  <c r="O30" i="8"/>
  <c r="L30" i="8"/>
  <c r="M30" i="8" s="1"/>
  <c r="P30" i="8" s="1"/>
  <c r="I30" i="8"/>
  <c r="F30" i="8"/>
  <c r="G30" i="8"/>
  <c r="O29" i="8"/>
  <c r="L29" i="8"/>
  <c r="M29" i="8" s="1"/>
  <c r="P29" i="8" s="1"/>
  <c r="I29" i="8"/>
  <c r="J29" i="8" s="1"/>
  <c r="F29" i="8"/>
  <c r="G29" i="8" s="1"/>
  <c r="O28" i="8"/>
  <c r="L28" i="8"/>
  <c r="M28" i="8" s="1"/>
  <c r="I28" i="8"/>
  <c r="F28" i="8"/>
  <c r="G28" i="8" s="1"/>
  <c r="O27" i="8"/>
  <c r="L27" i="8"/>
  <c r="M27" i="8" s="1"/>
  <c r="I27" i="8"/>
  <c r="F27" i="8"/>
  <c r="G27" i="8" s="1"/>
  <c r="O26" i="8"/>
  <c r="L26" i="8"/>
  <c r="M26" i="8" s="1"/>
  <c r="I26" i="8"/>
  <c r="F26" i="8"/>
  <c r="G26" i="8" s="1"/>
  <c r="O25" i="8"/>
  <c r="L25" i="8"/>
  <c r="M25" i="8" s="1"/>
  <c r="I25" i="8"/>
  <c r="F25" i="8"/>
  <c r="G25" i="8"/>
  <c r="O24" i="8"/>
  <c r="L24" i="8"/>
  <c r="M24" i="8" s="1"/>
  <c r="I24" i="8"/>
  <c r="F24" i="8"/>
  <c r="G24" i="8" s="1"/>
  <c r="J24" i="8" s="1"/>
  <c r="O23" i="8"/>
  <c r="L23" i="8"/>
  <c r="M23" i="8"/>
  <c r="I23" i="8"/>
  <c r="J23" i="8" s="1"/>
  <c r="F23" i="8"/>
  <c r="G23" i="8" s="1"/>
  <c r="O22" i="8"/>
  <c r="L22" i="8"/>
  <c r="M22" i="8" s="1"/>
  <c r="I22" i="8"/>
  <c r="F22" i="8"/>
  <c r="G22" i="8" s="1"/>
  <c r="O21" i="8"/>
  <c r="L21" i="8"/>
  <c r="M21" i="8" s="1"/>
  <c r="I21" i="8"/>
  <c r="J21" i="8" s="1"/>
  <c r="F21" i="8"/>
  <c r="G21" i="8" s="1"/>
  <c r="O20" i="8"/>
  <c r="L20" i="8"/>
  <c r="M20" i="8" s="1"/>
  <c r="I20" i="8"/>
  <c r="J20" i="8" s="1"/>
  <c r="F20" i="8"/>
  <c r="G20" i="8" s="1"/>
  <c r="O19" i="8"/>
  <c r="L19" i="8"/>
  <c r="M19" i="8" s="1"/>
  <c r="I19" i="8"/>
  <c r="J19" i="8"/>
  <c r="F19" i="8"/>
  <c r="G19" i="8" s="1"/>
  <c r="O18" i="8"/>
  <c r="L18" i="8"/>
  <c r="M18" i="8" s="1"/>
  <c r="P18" i="8" s="1"/>
  <c r="I18" i="8"/>
  <c r="F18" i="8"/>
  <c r="G18" i="8" s="1"/>
  <c r="O17" i="8"/>
  <c r="L17" i="8"/>
  <c r="M17" i="8" s="1"/>
  <c r="I17" i="8"/>
  <c r="F17" i="8"/>
  <c r="G17" i="8" s="1"/>
  <c r="O16" i="8"/>
  <c r="L16" i="8"/>
  <c r="M16" i="8" s="1"/>
  <c r="I16" i="8"/>
  <c r="J16" i="8" s="1"/>
  <c r="F16" i="8"/>
  <c r="G16" i="8" s="1"/>
  <c r="O15" i="8"/>
  <c r="P15" i="8" s="1"/>
  <c r="L15" i="8"/>
  <c r="M15" i="8" s="1"/>
  <c r="I15" i="8"/>
  <c r="J15" i="8" s="1"/>
  <c r="F15" i="8"/>
  <c r="G15" i="8" s="1"/>
  <c r="O14" i="8"/>
  <c r="L14" i="8"/>
  <c r="M14" i="8" s="1"/>
  <c r="I14" i="8"/>
  <c r="F14" i="8"/>
  <c r="G14" i="8" s="1"/>
  <c r="O13" i="8"/>
  <c r="P13" i="8" s="1"/>
  <c r="L13" i="8"/>
  <c r="M13" i="8" s="1"/>
  <c r="I13" i="8"/>
  <c r="F13" i="8"/>
  <c r="G13" i="8" s="1"/>
  <c r="O12" i="8"/>
  <c r="L12" i="8"/>
  <c r="M12" i="8" s="1"/>
  <c r="P12" i="8" s="1"/>
  <c r="I12" i="8"/>
  <c r="J12" i="8" s="1"/>
  <c r="F12" i="8"/>
  <c r="G12" i="8" s="1"/>
  <c r="O11" i="8"/>
  <c r="L11" i="8"/>
  <c r="M11" i="8" s="1"/>
  <c r="I11" i="8"/>
  <c r="F11" i="8"/>
  <c r="G11" i="8" s="1"/>
  <c r="O10" i="8"/>
  <c r="L10" i="8"/>
  <c r="M10" i="8" s="1"/>
  <c r="P10" i="8" s="1"/>
  <c r="I10" i="8"/>
  <c r="F10" i="8"/>
  <c r="G10" i="8" s="1"/>
  <c r="O9" i="8"/>
  <c r="L9" i="8"/>
  <c r="M9" i="8" s="1"/>
  <c r="I9" i="8"/>
  <c r="J9" i="8" s="1"/>
  <c r="F9" i="8"/>
  <c r="G9" i="8" s="1"/>
  <c r="O8" i="8"/>
  <c r="L8" i="8"/>
  <c r="M8" i="8" s="1"/>
  <c r="I8" i="8"/>
  <c r="F8" i="8"/>
  <c r="G8" i="8" s="1"/>
  <c r="O7" i="8"/>
  <c r="L7" i="8"/>
  <c r="M7" i="8" s="1"/>
  <c r="P7" i="8" s="1"/>
  <c r="I7" i="8"/>
  <c r="F7" i="8"/>
  <c r="G7" i="8" s="1"/>
  <c r="G38" i="19" l="1"/>
  <c r="G38" i="18"/>
  <c r="M38" i="18"/>
  <c r="P38" i="18" s="1"/>
  <c r="G38" i="12"/>
  <c r="J10" i="8"/>
  <c r="J26" i="8"/>
  <c r="J28" i="8"/>
  <c r="O38" i="8"/>
  <c r="P23" i="7"/>
  <c r="P25" i="7"/>
  <c r="P10" i="6"/>
  <c r="P24" i="6"/>
  <c r="P26" i="6"/>
  <c r="J9" i="12"/>
  <c r="P12" i="12"/>
  <c r="J14" i="12"/>
  <c r="J34" i="12"/>
  <c r="J13" i="3"/>
  <c r="P33" i="3"/>
  <c r="J17" i="15"/>
  <c r="J19" i="15"/>
  <c r="P20" i="15"/>
  <c r="P22" i="15"/>
  <c r="P25" i="15"/>
  <c r="P27" i="15"/>
  <c r="K11" i="17"/>
  <c r="Q19" i="17"/>
  <c r="K28" i="17"/>
  <c r="J7" i="18"/>
  <c r="P9" i="18"/>
  <c r="J11" i="18"/>
  <c r="J18" i="18"/>
  <c r="J22" i="18"/>
  <c r="J30" i="18"/>
  <c r="J11" i="19"/>
  <c r="P12" i="19"/>
  <c r="J28" i="19"/>
  <c r="P38" i="19"/>
  <c r="J15" i="3"/>
  <c r="K23" i="17"/>
  <c r="K30" i="17"/>
  <c r="P12" i="18"/>
  <c r="J14" i="18"/>
  <c r="J21" i="18"/>
  <c r="P7" i="19"/>
  <c r="P30" i="19"/>
  <c r="J18" i="8"/>
  <c r="P19" i="8"/>
  <c r="I38" i="8"/>
  <c r="J24" i="7"/>
  <c r="J26" i="7"/>
  <c r="P34" i="7"/>
  <c r="J7" i="6"/>
  <c r="J9" i="6"/>
  <c r="J11" i="6"/>
  <c r="J13" i="6"/>
  <c r="J15" i="6"/>
  <c r="P30" i="6"/>
  <c r="J11" i="12"/>
  <c r="P16" i="12"/>
  <c r="P25" i="12"/>
  <c r="P27" i="12"/>
  <c r="J31" i="12"/>
  <c r="J7" i="3"/>
  <c r="P10" i="3"/>
  <c r="P13" i="3"/>
  <c r="P17" i="15"/>
  <c r="J23" i="15"/>
  <c r="J26" i="15"/>
  <c r="J34" i="15"/>
  <c r="K20" i="17"/>
  <c r="Q25" i="17"/>
  <c r="Q30" i="17"/>
  <c r="J20" i="18"/>
  <c r="J26" i="18"/>
  <c r="J36" i="18"/>
  <c r="J27" i="19"/>
  <c r="J29" i="7"/>
  <c r="P16" i="8"/>
  <c r="J25" i="8"/>
  <c r="P32" i="8"/>
  <c r="P10" i="7"/>
  <c r="P17" i="7"/>
  <c r="J19" i="6"/>
  <c r="J23" i="6"/>
  <c r="J27" i="6"/>
  <c r="P34" i="6"/>
  <c r="P31" i="12"/>
  <c r="J33" i="12"/>
  <c r="J23" i="3"/>
  <c r="P24" i="3"/>
  <c r="P30" i="3"/>
  <c r="P10" i="15"/>
  <c r="J18" i="15"/>
  <c r="J36" i="15"/>
  <c r="P8" i="18"/>
  <c r="P18" i="18"/>
  <c r="P22" i="18"/>
  <c r="P30" i="18"/>
  <c r="J38" i="18"/>
  <c r="P18" i="19"/>
  <c r="J20" i="19"/>
  <c r="J26" i="19"/>
  <c r="J17" i="8"/>
  <c r="P25" i="8"/>
  <c r="J27" i="8"/>
  <c r="P20" i="7"/>
  <c r="P26" i="7"/>
  <c r="J30" i="7"/>
  <c r="J35" i="7"/>
  <c r="P7" i="6"/>
  <c r="P11" i="6"/>
  <c r="P21" i="6"/>
  <c r="J24" i="12"/>
  <c r="J26" i="12"/>
  <c r="P21" i="3"/>
  <c r="J25" i="3"/>
  <c r="P16" i="15"/>
  <c r="P21" i="15"/>
  <c r="P23" i="15"/>
  <c r="P36" i="15"/>
  <c r="Q18" i="17"/>
  <c r="Q20" i="17"/>
  <c r="K22" i="17"/>
  <c r="K29" i="17"/>
  <c r="Q32" i="17"/>
  <c r="Q34" i="17"/>
  <c r="K36" i="17"/>
  <c r="J13" i="18"/>
  <c r="P33" i="18"/>
  <c r="J35" i="18"/>
  <c r="P36" i="18"/>
  <c r="J9" i="19"/>
  <c r="J31" i="19"/>
  <c r="P35" i="7"/>
  <c r="Q9" i="17"/>
  <c r="J35" i="8"/>
  <c r="P11" i="8"/>
  <c r="P17" i="8"/>
  <c r="P22" i="8"/>
  <c r="P27" i="8"/>
  <c r="P31" i="8"/>
  <c r="P33" i="8"/>
  <c r="P36" i="8"/>
  <c r="M38" i="7"/>
  <c r="P14" i="7"/>
  <c r="P28" i="7"/>
  <c r="J10" i="6"/>
  <c r="J12" i="6"/>
  <c r="J20" i="6"/>
  <c r="P31" i="6"/>
  <c r="P8" i="12"/>
  <c r="P15" i="12"/>
  <c r="P21" i="12"/>
  <c r="J23" i="12"/>
  <c r="J32" i="12"/>
  <c r="P35" i="12"/>
  <c r="O38" i="12"/>
  <c r="P9" i="3"/>
  <c r="P18" i="3"/>
  <c r="J22" i="3"/>
  <c r="P25" i="3"/>
  <c r="J31" i="3"/>
  <c r="J33" i="3"/>
  <c r="P11" i="15"/>
  <c r="J22" i="15"/>
  <c r="P28" i="15"/>
  <c r="J30" i="15"/>
  <c r="K19" i="17"/>
  <c r="Q27" i="17"/>
  <c r="J12" i="18"/>
  <c r="P13" i="18"/>
  <c r="P17" i="18"/>
  <c r="J34" i="18"/>
  <c r="J7" i="19"/>
  <c r="J38" i="19"/>
  <c r="J26" i="6"/>
  <c r="K16" i="17"/>
  <c r="G38" i="8"/>
  <c r="J38" i="8" s="1"/>
  <c r="P21" i="8"/>
  <c r="J36" i="7"/>
  <c r="J30" i="6"/>
  <c r="J11" i="3"/>
  <c r="K18" i="17"/>
  <c r="J7" i="8"/>
  <c r="J10" i="7"/>
  <c r="J17" i="7"/>
  <c r="G38" i="6"/>
  <c r="J38" i="6" s="1"/>
  <c r="J8" i="3"/>
  <c r="J20" i="3"/>
  <c r="G38" i="15"/>
  <c r="N38" i="17"/>
  <c r="Q7" i="17"/>
  <c r="G38" i="17"/>
  <c r="G38" i="7"/>
  <c r="J38" i="7" s="1"/>
  <c r="M38" i="12"/>
  <c r="P38" i="12" s="1"/>
  <c r="J15" i="15"/>
  <c r="P9" i="8"/>
  <c r="J33" i="7"/>
  <c r="M38" i="6"/>
  <c r="G38" i="3"/>
  <c r="J17" i="3"/>
  <c r="J32" i="15"/>
  <c r="M38" i="15"/>
  <c r="P38" i="15" s="1"/>
  <c r="J8" i="8"/>
  <c r="J25" i="7"/>
  <c r="J33" i="6"/>
  <c r="J19" i="12"/>
  <c r="M38" i="3"/>
  <c r="P38" i="3" s="1"/>
  <c r="J12" i="3"/>
  <c r="J21" i="3"/>
  <c r="D16" i="16"/>
  <c r="D17" i="16"/>
  <c r="J11" i="8"/>
  <c r="P20" i="8"/>
  <c r="P26" i="8"/>
  <c r="J32" i="8"/>
  <c r="P35" i="8"/>
  <c r="P15" i="7"/>
  <c r="J21" i="7"/>
  <c r="P22" i="7"/>
  <c r="P29" i="7"/>
  <c r="O38" i="7"/>
  <c r="P38" i="7" s="1"/>
  <c r="J18" i="6"/>
  <c r="J21" i="6"/>
  <c r="P22" i="6"/>
  <c r="P27" i="6"/>
  <c r="J29" i="6"/>
  <c r="J32" i="6"/>
  <c r="P36" i="6"/>
  <c r="J13" i="12"/>
  <c r="J16" i="12"/>
  <c r="P17" i="12"/>
  <c r="P28" i="12"/>
  <c r="I38" i="12"/>
  <c r="J38" i="12" s="1"/>
  <c r="P15" i="3"/>
  <c r="J34" i="3"/>
  <c r="J12" i="15"/>
  <c r="J29" i="15"/>
  <c r="K14" i="17"/>
  <c r="Q23" i="17"/>
  <c r="P19" i="7"/>
  <c r="J31" i="7"/>
  <c r="J10" i="12"/>
  <c r="P12" i="3"/>
  <c r="P23" i="3"/>
  <c r="P13" i="15"/>
  <c r="P30" i="15"/>
  <c r="K9" i="17"/>
  <c r="K21" i="17"/>
  <c r="K35" i="17"/>
  <c r="Q36" i="17"/>
  <c r="P8" i="8"/>
  <c r="J14" i="8"/>
  <c r="J22" i="8"/>
  <c r="P28" i="8"/>
  <c r="M38" i="8"/>
  <c r="P38" i="8" s="1"/>
  <c r="P8" i="7"/>
  <c r="J27" i="7"/>
  <c r="P33" i="6"/>
  <c r="J21" i="12"/>
  <c r="P22" i="12"/>
  <c r="P24" i="8"/>
  <c r="J36" i="8"/>
  <c r="J20" i="7"/>
  <c r="P21" i="7"/>
  <c r="J23" i="7"/>
  <c r="P9" i="6"/>
  <c r="P12" i="6"/>
  <c r="J14" i="6"/>
  <c r="P15" i="6"/>
  <c r="J17" i="6"/>
  <c r="J25" i="6"/>
  <c r="J28" i="6"/>
  <c r="O38" i="6"/>
  <c r="P38" i="6" s="1"/>
  <c r="P10" i="12"/>
  <c r="J15" i="12"/>
  <c r="P19" i="12"/>
  <c r="P14" i="3"/>
  <c r="P17" i="3"/>
  <c r="J28" i="3"/>
  <c r="P12" i="15"/>
  <c r="J14" i="15"/>
  <c r="I38" i="15"/>
  <c r="K8" i="17"/>
  <c r="Q22" i="17"/>
  <c r="Q28" i="17"/>
  <c r="K31" i="17"/>
  <c r="P23" i="8"/>
  <c r="J30" i="8"/>
  <c r="P31" i="7"/>
  <c r="P23" i="6"/>
  <c r="J31" i="6"/>
  <c r="J34" i="6"/>
  <c r="P35" i="6"/>
  <c r="P7" i="12"/>
  <c r="J32" i="3"/>
  <c r="I38" i="3"/>
  <c r="P15" i="15"/>
  <c r="P26" i="15"/>
  <c r="J28" i="15"/>
  <c r="J35" i="15"/>
  <c r="K26" i="17"/>
  <c r="K27" i="17"/>
  <c r="P38" i="17"/>
  <c r="J13" i="8"/>
  <c r="P14" i="8"/>
  <c r="P7" i="7"/>
  <c r="J11" i="7"/>
  <c r="P12" i="7"/>
  <c r="J15" i="7"/>
  <c r="P27" i="7"/>
  <c r="J34" i="7"/>
  <c r="P34" i="12"/>
  <c r="P16" i="3"/>
  <c r="J18" i="3"/>
  <c r="P28" i="3"/>
  <c r="P19" i="15"/>
  <c r="J21" i="15"/>
  <c r="K7" i="17"/>
  <c r="Q8" i="17"/>
  <c r="Q13" i="17"/>
  <c r="Q31" i="17"/>
  <c r="K33" i="17"/>
  <c r="J38" i="17"/>
  <c r="J22" i="7"/>
  <c r="P8" i="6"/>
  <c r="J16" i="6"/>
  <c r="P17" i="6"/>
  <c r="P25" i="6"/>
  <c r="P18" i="12"/>
  <c r="J36" i="12"/>
  <c r="H13" i="17"/>
  <c r="K13" i="17" s="1"/>
  <c r="J38" i="15" l="1"/>
  <c r="J38" i="3"/>
  <c r="H38" i="17"/>
  <c r="K38" i="17" s="1"/>
  <c r="Q38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<sst xmlns="http://schemas.openxmlformats.org/spreadsheetml/2006/main" count="1080" uniqueCount="116">
  <si>
    <t>REF URL</t>
  </si>
  <si>
    <t>Decription</t>
  </si>
  <si>
    <t>Value</t>
  </si>
  <si>
    <t>Crimes Against Children</t>
  </si>
  <si>
    <t xml:space="preserve">Data Breach </t>
  </si>
  <si>
    <t>Unit</t>
  </si>
  <si>
    <t>Population Estimate</t>
  </si>
  <si>
    <t>Extortion</t>
  </si>
  <si>
    <t>Malware</t>
  </si>
  <si>
    <t>Personal Data Breach</t>
  </si>
  <si>
    <t>Phishing</t>
  </si>
  <si>
    <t>Ransomware</t>
  </si>
  <si>
    <t>Spoofing</t>
  </si>
  <si>
    <t>Threats of Violence</t>
  </si>
  <si>
    <t>Raw Value</t>
  </si>
  <si>
    <t>Value/State Population</t>
  </si>
  <si>
    <t>Chattanooga Population in 2022</t>
  </si>
  <si>
    <t>https://www.census.gov/quickfacts/chattanoogacitytennessee</t>
  </si>
  <si>
    <t>(Victim Count/State Population ) * City Population</t>
  </si>
  <si>
    <t>Estimated In-City Victims, 2022, As if IC3 Victim Complaint</t>
  </si>
  <si>
    <t>State Victim Count</t>
  </si>
  <si>
    <t>Business Email Compromise</t>
  </si>
  <si>
    <t>State Victim Loss</t>
  </si>
  <si>
    <t>Advanced Fee</t>
  </si>
  <si>
    <t>Botnet</t>
  </si>
  <si>
    <t>Confidence/Romance</t>
  </si>
  <si>
    <t>Check Fraud</t>
  </si>
  <si>
    <t>Employment</t>
  </si>
  <si>
    <t>Government Impersonation</t>
  </si>
  <si>
    <t>Harassing/Stalking</t>
  </si>
  <si>
    <t>IPR/Counterfeit</t>
  </si>
  <si>
    <t>Identity Theft</t>
  </si>
  <si>
    <t>Investment</t>
  </si>
  <si>
    <t>Lottery/Sweepstakes/Inheritance</t>
  </si>
  <si>
    <t>NCDF</t>
  </si>
  <si>
    <t>NTOC</t>
  </si>
  <si>
    <t>No Lead Value</t>
  </si>
  <si>
    <t>Non-Payable/Non-Delivery</t>
  </si>
  <si>
    <t>Other</t>
  </si>
  <si>
    <t>Overpayment</t>
  </si>
  <si>
    <t>Real Estate</t>
  </si>
  <si>
    <t>SIM Swap</t>
  </si>
  <si>
    <t>Tech Support</t>
  </si>
  <si>
    <t>Even Loss per State Victim Count</t>
  </si>
  <si>
    <t>Projected In-City Victim Loss</t>
  </si>
  <si>
    <t>Estimated In-City Victims * Even Loss per State Victim</t>
  </si>
  <si>
    <t>State Subject (Perpetrator) Count</t>
  </si>
  <si>
    <t>State Subject Losses (Perpetrator gained X dollars)</t>
  </si>
  <si>
    <t>Subject (Perpetrator) to State Population</t>
  </si>
  <si>
    <t>Estimated Subject to City Population</t>
  </si>
  <si>
    <t xml:space="preserve">Estimated In-City Subject Losses (Perpetrator Take from Victim) </t>
  </si>
  <si>
    <t>Even Loss per State Subject</t>
  </si>
  <si>
    <t>Subject to City * Even Loss per State Subject</t>
  </si>
  <si>
    <t>Chattanooga Population in 2021</t>
  </si>
  <si>
    <t>Chattanooga Population in 20</t>
  </si>
  <si>
    <t>https://www.census.gov/data/tables/time-series/demo/popest/2020s-total-cities-and-towns.html</t>
  </si>
  <si>
    <t>Chattanooga Population in 2020</t>
  </si>
  <si>
    <t>Chattanooga Population in 2019</t>
  </si>
  <si>
    <t>https://www2.census.gov/programs-surveys/popest/tables/2010-2019/cities/totals/SUB-IP-EST2019-ANNRES-47.xlsx</t>
  </si>
  <si>
    <t>Chattanooga Population in 2017</t>
  </si>
  <si>
    <t>Chattanooga Population in 2018</t>
  </si>
  <si>
    <t>Chattanooga Population in 2016</t>
  </si>
  <si>
    <t>Year</t>
  </si>
  <si>
    <t>City Population</t>
  </si>
  <si>
    <t>Crimes</t>
  </si>
  <si>
    <t>System Intrusion Group</t>
  </si>
  <si>
    <t>Data Breach</t>
  </si>
  <si>
    <t>Threat to Personnel via Network</t>
  </si>
  <si>
    <t>Threats/Stalking/Harassment/Terrorism</t>
  </si>
  <si>
    <t>Theft of Data via Network</t>
  </si>
  <si>
    <t>Identify Theft</t>
  </si>
  <si>
    <t>BEC</t>
  </si>
  <si>
    <t>Column1</t>
  </si>
  <si>
    <t>Column2</t>
  </si>
  <si>
    <t>Column3</t>
  </si>
  <si>
    <t>State IC3 Data</t>
  </si>
  <si>
    <t>Average deviation</t>
  </si>
  <si>
    <t>Projected population</t>
  </si>
  <si>
    <t>Projected population High</t>
  </si>
  <si>
    <t>Projected poplulation Low</t>
  </si>
  <si>
    <t>Chance of decrease</t>
  </si>
  <si>
    <t>(Victim Count/State Population ) * City Population Rounded Down</t>
  </si>
  <si>
    <t>Check Fraud/Credit Card Fraud</t>
  </si>
  <si>
    <t>Credit Card/Check Fraud</t>
  </si>
  <si>
    <t>Harassment/Stalking</t>
  </si>
  <si>
    <t>https://fred.stlouisfed.org/series/POPTOTASA647NWDB</t>
  </si>
  <si>
    <t>American Samoa Population in 2016</t>
  </si>
  <si>
    <t>American Samoa Population in 2017</t>
  </si>
  <si>
    <t>American Samoa Population in 2018</t>
  </si>
  <si>
    <t>American Samoa Population in 2019</t>
  </si>
  <si>
    <t>American Samoa Population in 2020</t>
  </si>
  <si>
    <t>American Samoa Population in 2021</t>
  </si>
  <si>
    <t>American Samoa Population in 2022</t>
  </si>
  <si>
    <t>American Samoa Population in 20</t>
  </si>
  <si>
    <t>https://www.ic3.gov/Media/PDF/AnnualReport/2022State/StateReport.aspx#?s=AS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</si>
  <si>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</si>
  <si>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</si>
  <si>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</si>
  <si>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</si>
  <si>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</si>
  <si>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</si>
  <si>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</si>
  <si>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</si>
  <si>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</si>
  <si>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</si>
  <si>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</si>
  <si>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</si>
  <si>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</si>
  <si>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</si>
  <si>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https://www.ic3.gov/AnnualReport/Reports/2016_IC3Report.pdf</t>
  </si>
  <si>
    <t>https://www.ic3.gov/AnnualReport/Reports/2017_IC3Report.pdf</t>
  </si>
  <si>
    <t>https://www.ic3.gov/AnnualReport/Reports/2018_IC3Report.pdf</t>
  </si>
  <si>
    <t>https://www.ic3.gov/AnnualReport/Reports/2019_IC3Report.pdf</t>
  </si>
  <si>
    <t>https://www.ic3.gov/AnnualReport/Reports/2020_IC3Report.pdf</t>
  </si>
  <si>
    <t>https://www.ic3.gov/AnnualReport/Reports/2021_IC3Report.pdf</t>
  </si>
  <si>
    <t>https://www.ic3.gov/AnnualReport/Reports/2022_IC3Report.pdf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</si>
</sst>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000000000000000000000000000"/>
    <numFmt numFmtId="166" formatCode="&quot;$&quot;#,##0.00"/>
    <numFmt numFmtId="167" formatCode="&quot;$&quot;#,##0"/>
    <numFmt numFmtId="169" formatCode="0.00000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AD3"/>
        <bgColor indexed="64"/>
      </patternFill>
    </fill>
    <fill>
      <patternFill patternType="solid">
        <fgColor rgb="FFE2F0D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3" fontId="0" fillId="0" borderId="0" xfId="0" applyNumberFormat="1"/>
    <xf numFmtId="164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2" fillId="0" borderId="0" xfId="0" applyFont="1"/>
    <xf numFmtId="169" fontId="0" fillId="0" borderId="0" xfId="0" applyNumberFormat="1"/>
    <xf numFmtId="0" fontId="2" fillId="2" borderId="0" xfId="0" applyFont="1" applyFill="1" applyAlignment="1">
      <alignment wrapText="1"/>
    </xf>
    <xf numFmtId="0" fontId="0" fillId="3" borderId="0" xfId="0" applyFill="1"/>
    <xf numFmtId="3" fontId="2" fillId="2" borderId="0" xfId="0" applyNumberFormat="1" applyFont="1" applyFill="1" applyAlignment="1">
      <alignment wrapText="1"/>
    </xf>
    <xf numFmtId="3" fontId="0" fillId="3" borderId="0" xfId="0" applyNumberFormat="1" applyFill="1"/>
    <xf numFmtId="169" fontId="2" fillId="2" borderId="0" xfId="0" applyNumberFormat="1" applyFont="1" applyFill="1" applyAlignment="1">
      <alignment wrapText="1"/>
    </xf>
    <xf numFmtId="169" fontId="0" fillId="3" borderId="0" xfId="0" applyNumberFormat="1" applyFill="1"/>
    <xf numFmtId="166" fontId="2" fillId="2" borderId="0" xfId="0" applyNumberFormat="1" applyFont="1" applyFill="1" applyAlignment="1">
      <alignment wrapText="1"/>
    </xf>
    <xf numFmtId="166" fontId="0" fillId="3" borderId="0" xfId="0" applyNumberFormat="1" applyFill="1"/>
    <xf numFmtId="3" fontId="2" fillId="2" borderId="0" xfId="0" applyNumberFormat="1" applyFont="1" applyFill="1"/>
    <xf numFmtId="3" fontId="2" fillId="2" borderId="0" xfId="0" applyNumberFormat="1" applyFont="1" applyFill="1"/>
    <xf numFmtId="3" fontId="2" fillId="0" borderId="0" xfId="0" applyNumberFormat="1" applyFont="1"/>
    <xf numFmtId="3" fontId="0" fillId="2" borderId="0" xfId="0" applyNumberFormat="1" applyFill="1"/>
  </cellXfs>
  <cellStyles count="1">
    <cellStyle name="Normal" xfId="0" builtinId="0"/>
  </cellStyles>
  <dxfs count="1"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Personal Data Breach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'State Summary Graphs'!$I$4</c:f>
              <c:strCache>
                <c:ptCount val="1"/>
                <c:pt idx="0">
                  <c:v>Column8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Graphs'!$I$5:$I$11</c:f>
              <c:numCache>
                <c:formatCode>General</c:formatCode>
                <c:ptCount val="7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C1-466F-B2CF-49FD3CFF7E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9435904"/>
        <c:axId val="409436384"/>
      </c:lineChart>
      <c:catAx>
        <c:axId val="40943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436384"/>
        <c:crosses val="autoZero"/>
        <c:auto val="1"/>
        <c:lblAlgn val="ctr"/>
        <c:lblOffset val="100"/>
        <c:noMultiLvlLbl val="0"/>
      </c:catAx>
      <c:valAx>
        <c:axId val="40943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435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Malware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'State Summary Graphs'!$J$4</c:f>
              <c:strCache>
                <c:ptCount val="1"/>
                <c:pt idx="0">
                  <c:v>Column9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Graphs'!$J$5:$J$11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39-44B6-9196-DCD1AE49D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7450752"/>
        <c:axId val="1827449792"/>
      </c:lineChart>
      <c:catAx>
        <c:axId val="182745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7449792"/>
        <c:crosses val="autoZero"/>
        <c:auto val="1"/>
        <c:lblAlgn val="ctr"/>
        <c:lblOffset val="100"/>
        <c:noMultiLvlLbl val="0"/>
      </c:catAx>
      <c:valAx>
        <c:axId val="182744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7450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Phishing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'State Summary Graphs'!$K$4</c:f>
              <c:strCache>
                <c:ptCount val="1"/>
                <c:pt idx="0">
                  <c:v>Column10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Graphs'!$K$5:$K$11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A-4DE4-BAC7-AA083B5380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7449312"/>
        <c:axId val="1827448832"/>
      </c:lineChart>
      <c:catAx>
        <c:axId val="182744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7448832"/>
        <c:crosses val="autoZero"/>
        <c:auto val="1"/>
        <c:lblAlgn val="ctr"/>
        <c:lblOffset val="100"/>
        <c:noMultiLvlLbl val="0"/>
      </c:catAx>
      <c:valAx>
        <c:axId val="182744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7449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Ransomware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'State Summary Graphs'!$L$4</c:f>
              <c:strCache>
                <c:ptCount val="1"/>
                <c:pt idx="0">
                  <c:v>Column11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Graphs'!$L$5:$L$11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BB-4549-825B-BB1CEE4FA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6724800"/>
        <c:axId val="1826715200"/>
      </c:lineChart>
      <c:catAx>
        <c:axId val="182672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6715200"/>
        <c:crosses val="autoZero"/>
        <c:auto val="1"/>
        <c:lblAlgn val="ctr"/>
        <c:lblOffset val="100"/>
        <c:noMultiLvlLbl val="0"/>
      </c:catAx>
      <c:valAx>
        <c:axId val="1826715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6724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System Intrusion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'State Summary Graphs'!$H$4</c:f>
              <c:strCache>
                <c:ptCount val="1"/>
                <c:pt idx="0">
                  <c:v>Column7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Graphs'!$H$5:$H$11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42-44EA-9CF7-D5EA39EAEABF}"/>
            </c:ext>
          </c:extLst>
        </c:ser>
        <c:ser>
          <c:idx val="1"/>
          <c:order val="1"/>
          <c:tx>
            <c:strRef>
              <c:f>'State Summary Graphs'!$I$4</c:f>
              <c:strCache>
                <c:ptCount val="1"/>
                <c:pt idx="0">
                  <c:v>Column8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Graphs'!$I$5:$I$11</c:f>
              <c:numCache>
                <c:formatCode>General</c:formatCode>
                <c:ptCount val="7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42-44EA-9CF7-D5EA39EAEABF}"/>
            </c:ext>
          </c:extLst>
        </c:ser>
        <c:ser>
          <c:idx val="2"/>
          <c:order val="2"/>
          <c:tx>
            <c:strRef>
              <c:f>'State Summary Graphs'!$J$4</c:f>
              <c:strCache>
                <c:ptCount val="1"/>
                <c:pt idx="0">
                  <c:v>Column9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Graphs'!$J$5:$J$11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42-44EA-9CF7-D5EA39EAEABF}"/>
            </c:ext>
          </c:extLst>
        </c:ser>
        <c:ser>
          <c:idx val="3"/>
          <c:order val="3"/>
          <c:tx>
            <c:strRef>
              <c:f>'State Summary Graphs'!$K$4</c:f>
              <c:strCache>
                <c:ptCount val="1"/>
                <c:pt idx="0">
                  <c:v>Column10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Graphs'!$K$5:$K$11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42-44EA-9CF7-D5EA39EAEABF}"/>
            </c:ext>
          </c:extLst>
        </c:ser>
        <c:ser>
          <c:idx val="4"/>
          <c:order val="4"/>
          <c:tx>
            <c:strRef>
              <c:f>'State Summary Graphs'!$L$4</c:f>
              <c:strCache>
                <c:ptCount val="1"/>
                <c:pt idx="0">
                  <c:v>Column11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'State Summary Graphs'!$B$5:$B$11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Graphs'!$L$5:$L$11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342-44EA-9CF7-D5EA39EAEA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75371296"/>
        <c:axId val="1875372736"/>
      </c:lineChart>
      <c:catAx>
        <c:axId val="1875371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5372736"/>
        <c:crosses val="autoZero"/>
        <c:auto val="1"/>
        <c:lblAlgn val="ctr"/>
        <c:lblOffset val="100"/>
        <c:noMultiLvlLbl val="0"/>
      </c:catAx>
      <c:valAx>
        <c:axId val="1875372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5371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13</xdr:row>
      <xdr:rowOff>0</xdr:rowOff>
    </xdr:from>
    <xdr:to>
      <xdr:col>9</xdr:col>
      <xdr:colOff>0</xdr:colOff>
      <xdr:row>29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995DBFA-DBE1-C6B7-23B4-B6125A652F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13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10FAC89-70B8-0378-BB5B-C88915E0BA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29</xdr:row>
      <xdr:rowOff>0</xdr:rowOff>
    </xdr:from>
    <xdr:to>
      <xdr:col>9</xdr:col>
      <xdr:colOff>0</xdr:colOff>
      <xdr:row>45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4AA43B7-497C-4887-EC3B-1071D02E09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30</xdr:row>
      <xdr:rowOff>0</xdr:rowOff>
    </xdr:from>
    <xdr:to>
      <xdr:col>15</xdr:col>
      <xdr:colOff>0</xdr:colOff>
      <xdr:row>46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D68FA28-2E42-AC23-1E7F-59CC450E49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46</xdr:row>
      <xdr:rowOff>0</xdr:rowOff>
    </xdr:from>
    <xdr:to>
      <xdr:col>12</xdr:col>
      <xdr:colOff>1554479</xdr:colOff>
      <xdr:row>72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F4BD3FC-11F6-06D0-44E0-851D9F8567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52D06D-F19C-496B-B548-4E9917889F1B}" name="Table1" displayName="Table1" ref="B4:R11" totalsRowShown="0">
  <autoFilter ref="B4:R11" xr:uid="{9E52D06D-F19C-496B-B548-4E9917889F1B}"/>
  <tableColumns count="17">
    <tableColumn id="1" xr3:uid="{0DF06526-7230-4F61-845B-25D5D6BF9564}" name="Column1"/>
    <tableColumn id="2" xr3:uid="{166A7789-D460-4EBD-988C-6DD5E3377E4A}" name="Column2" dataDxfId="0"/>
    <tableColumn id="3" xr3:uid="{F7CFF5B8-269F-4178-A73A-A07AB5A2BA12}" name="Column3"/>
    <tableColumn id="4" xr3:uid="{41C71D6D-993B-408B-9836-AB1C36EC2B25}" name="Column4"/>
    <tableColumn id="5" xr3:uid="{D6969342-D633-4C08-A99F-8C161CE11D0B}" name="Column5"/>
    <tableColumn id="6" xr3:uid="{92431FD9-9A73-4F42-B170-F669BC484240}" name="Column6"/>
    <tableColumn id="7" xr3:uid="{4CB03392-08CC-4EF2-BC60-23CF282DC247}" name="Column7"/>
    <tableColumn id="8" xr3:uid="{CF264628-4A13-451D-BE04-3F907460E6B5}" name="Column8"/>
    <tableColumn id="9" xr3:uid="{EC3A2D76-646B-402D-B0B2-0952096A153B}" name="Column9"/>
    <tableColumn id="10" xr3:uid="{EE57AB9C-3379-4038-854F-5E326FA44493}" name="Column10"/>
    <tableColumn id="11" xr3:uid="{5EE6F608-1B99-4E3E-9CE9-0142EF24B263}" name="Column11"/>
    <tableColumn id="12" xr3:uid="{DD197EB4-BD86-46BA-98ED-59E720144C1D}" name="Column12"/>
    <tableColumn id="13" xr3:uid="{D961A56F-6986-4E98-827B-B5882E430ED3}" name="Column13"/>
    <tableColumn id="14" xr3:uid="{EF97E9EB-C408-4FA5-B5EC-F685C8BF45EE}" name="Column14"/>
    <tableColumn id="15" xr3:uid="{802EA110-D041-47B1-B715-6FFC21BAFCA4}" name="Column15"/>
    <tableColumn id="16" xr3:uid="{AB9D5710-BD82-45B0-89BC-BA1892557A3E}" name="Column16"/>
    <tableColumn id="17" xr3:uid="{3CCB04FC-A3CB-4B1B-A9C5-158D7203872F}" name="Column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4F665-8045-46B2-805C-B8E0D86E609D}">
  <dimension ref="A2:AZ36"/>
  <sheetViews>
    <sheetView topLeftCell="D1" workbookViewId="0">
      <selection activeCell="E37" sqref="E37"/>
    </sheetView>
  </sheetViews>
  <sheetFormatPr defaultRowHeight="14.4" x14ac:dyDescent="0.3"/>
  <cols>
    <col min="2" max="8" width="17" style="1" customWidth="1"/>
    <col min="9" max="9" width="20.6640625" style="1" customWidth="1"/>
    <col min="10" max="12" width="17" style="1" customWidth="1"/>
    <col min="13" max="13" width="22.6640625" style="1" customWidth="1"/>
    <col min="14" max="14" width="17" style="1" customWidth="1"/>
    <col min="15" max="15" width="36.33203125" style="1" customWidth="1"/>
    <col min="16" max="18" width="17" style="1" customWidth="1"/>
  </cols>
  <sheetData>
    <row r="2" spans="1:52" x14ac:dyDescent="0.3">
      <c r="B2" s="15" t="s">
        <v>75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</row>
    <row r="3" spans="1:52" x14ac:dyDescent="0.3">
      <c r="B3" s="15"/>
      <c r="C3" s="15"/>
      <c r="D3" s="15"/>
      <c r="E3" s="15"/>
      <c r="F3" s="15"/>
      <c r="G3" s="15"/>
      <c r="H3" s="16" t="s">
        <v>65</v>
      </c>
      <c r="I3" s="16"/>
      <c r="J3" s="16"/>
      <c r="K3" s="16"/>
      <c r="L3" s="16"/>
      <c r="M3" s="16" t="s">
        <v>67</v>
      </c>
      <c r="N3" s="16"/>
      <c r="O3" s="16"/>
      <c r="P3" s="16" t="s">
        <v>69</v>
      </c>
      <c r="Q3" s="16"/>
      <c r="R3" s="16"/>
    </row>
    <row r="4" spans="1:52" x14ac:dyDescent="0.3">
      <c r="B4" t="s">
        <v>72</v>
      </c>
      <c r="C4" s="1" t="s">
        <v>73</v>
      </c>
      <c r="D4" t="s">
        <v>74</v>
      </c>
      <c r="E4" t="s">
        <v>95</v>
      </c>
      <c r="F4" t="s">
        <v>96</v>
      </c>
      <c r="G4" t="s">
        <v>97</v>
      </c>
      <c r="H4" t="s">
        <v>98</v>
      </c>
      <c r="I4" t="s">
        <v>99</v>
      </c>
      <c r="J4" t="s">
        <v>100</v>
      </c>
      <c r="K4" t="s">
        <v>101</v>
      </c>
      <c r="L4" t="s">
        <v>102</v>
      </c>
      <c r="M4" t="s">
        <v>103</v>
      </c>
      <c r="N4" t="s">
        <v>104</v>
      </c>
      <c r="O4" t="s">
        <v>105</v>
      </c>
      <c r="P4" t="s">
        <v>106</v>
      </c>
      <c r="Q4" t="s">
        <v>107</v>
      </c>
      <c r="R4" t="s">
        <v>108</v>
      </c>
    </row>
    <row r="5" spans="1:52" x14ac:dyDescent="0.3">
      <c r="B5">
        <v>2016</v>
      </c>
      <c r="C5" s="1">
        <v>177746</v>
      </c>
      <c r="D5"/>
      <c r="E5"/>
      <c r="F5"/>
      <c r="G5"/>
      <c r="H5">
        <v>0</v>
      </c>
      <c r="I5">
        <v>2</v>
      </c>
      <c r="J5">
        <v>0</v>
      </c>
      <c r="K5">
        <v>1</v>
      </c>
      <c r="L5">
        <v>0</v>
      </c>
      <c r="M5">
        <v>0</v>
      </c>
      <c r="N5">
        <v>2</v>
      </c>
      <c r="O5">
        <v>3</v>
      </c>
      <c r="P5">
        <v>0</v>
      </c>
      <c r="Q5">
        <v>0</v>
      </c>
      <c r="R5">
        <v>0</v>
      </c>
    </row>
    <row r="6" spans="1:52" s="2" customFormat="1" x14ac:dyDescent="0.3">
      <c r="A6"/>
      <c r="B6">
        <v>2017</v>
      </c>
      <c r="C6" s="1">
        <v>179530</v>
      </c>
      <c r="D6"/>
      <c r="E6"/>
      <c r="F6"/>
      <c r="G6"/>
      <c r="H6">
        <v>0</v>
      </c>
      <c r="I6">
        <v>1</v>
      </c>
      <c r="J6">
        <v>0</v>
      </c>
      <c r="K6">
        <v>1</v>
      </c>
      <c r="L6">
        <v>0</v>
      </c>
      <c r="M6">
        <v>0</v>
      </c>
      <c r="N6">
        <v>1</v>
      </c>
      <c r="O6">
        <v>3</v>
      </c>
      <c r="P6">
        <v>0</v>
      </c>
      <c r="Q6">
        <v>0</v>
      </c>
      <c r="R6">
        <v>0</v>
      </c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</row>
    <row r="7" spans="1:52" s="2" customFormat="1" x14ac:dyDescent="0.3">
      <c r="A7"/>
      <c r="B7">
        <v>2018</v>
      </c>
      <c r="C7" s="1">
        <v>181918</v>
      </c>
      <c r="D7"/>
      <c r="E7"/>
      <c r="F7"/>
      <c r="G7"/>
      <c r="H7">
        <v>0</v>
      </c>
      <c r="I7">
        <v>0</v>
      </c>
      <c r="J7">
        <v>1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0</v>
      </c>
      <c r="R7">
        <v>0</v>
      </c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</row>
    <row r="8" spans="1:52" s="2" customFormat="1" x14ac:dyDescent="0.3">
      <c r="A8"/>
      <c r="B8">
        <v>2019</v>
      </c>
      <c r="C8" s="1">
        <v>182799</v>
      </c>
      <c r="D8"/>
      <c r="E8"/>
      <c r="F8"/>
      <c r="G8"/>
      <c r="H8">
        <v>0</v>
      </c>
      <c r="I8">
        <v>2</v>
      </c>
      <c r="J8">
        <v>0</v>
      </c>
      <c r="K8">
        <v>1</v>
      </c>
      <c r="L8">
        <v>0</v>
      </c>
      <c r="M8">
        <v>0</v>
      </c>
      <c r="N8">
        <v>2</v>
      </c>
      <c r="O8">
        <v>1</v>
      </c>
      <c r="P8">
        <v>0</v>
      </c>
      <c r="Q8">
        <v>1</v>
      </c>
      <c r="R8">
        <v>0</v>
      </c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</row>
    <row r="9" spans="1:52" s="2" customFormat="1" x14ac:dyDescent="0.3">
      <c r="A9"/>
      <c r="B9">
        <v>2020</v>
      </c>
      <c r="C9" s="1">
        <v>181560</v>
      </c>
      <c r="D9"/>
      <c r="E9"/>
      <c r="F9"/>
      <c r="G9"/>
      <c r="H9">
        <v>1</v>
      </c>
      <c r="I9">
        <v>1</v>
      </c>
      <c r="J9">
        <v>0</v>
      </c>
      <c r="K9">
        <v>1</v>
      </c>
      <c r="L9">
        <v>0</v>
      </c>
      <c r="M9">
        <v>0</v>
      </c>
      <c r="N9">
        <v>2</v>
      </c>
      <c r="O9">
        <v>2</v>
      </c>
      <c r="P9">
        <v>0</v>
      </c>
      <c r="Q9">
        <v>1</v>
      </c>
      <c r="R9">
        <v>5</v>
      </c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</row>
    <row r="10" spans="1:52" s="2" customFormat="1" x14ac:dyDescent="0.3">
      <c r="A10"/>
      <c r="B10">
        <v>2021</v>
      </c>
      <c r="C10" s="1">
        <v>181163</v>
      </c>
      <c r="D10"/>
      <c r="E10"/>
      <c r="F10"/>
      <c r="G10"/>
      <c r="H10">
        <v>0</v>
      </c>
      <c r="I10">
        <v>2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1</v>
      </c>
      <c r="Q10">
        <v>0</v>
      </c>
      <c r="R10">
        <v>1</v>
      </c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</row>
    <row r="11" spans="1:52" s="2" customFormat="1" x14ac:dyDescent="0.3">
      <c r="A11"/>
      <c r="B11">
        <v>2022</v>
      </c>
      <c r="C11" s="1">
        <v>184086</v>
      </c>
      <c r="D11"/>
      <c r="E11"/>
      <c r="F11"/>
      <c r="G11"/>
      <c r="H11">
        <v>0</v>
      </c>
      <c r="I11">
        <v>3</v>
      </c>
      <c r="J11">
        <v>0</v>
      </c>
      <c r="K11">
        <v>1</v>
      </c>
      <c r="L11">
        <v>0</v>
      </c>
      <c r="M11">
        <v>3</v>
      </c>
      <c r="N11">
        <v>2</v>
      </c>
      <c r="O11">
        <v>5</v>
      </c>
      <c r="P11">
        <v>0</v>
      </c>
      <c r="Q11">
        <v>2</v>
      </c>
      <c r="R11">
        <v>2</v>
      </c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</row>
    <row r="12" spans="1:52" s="2" customFormat="1" x14ac:dyDescent="0.3">
      <c r="A12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</row>
    <row r="13" spans="1:52" s="2" customFormat="1" x14ac:dyDescent="0.3">
      <c r="A13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</row>
    <row r="14" spans="1:52" s="2" customFormat="1" x14ac:dyDescent="0.3">
      <c r="A14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</row>
    <row r="15" spans="1:52" s="2" customFormat="1" x14ac:dyDescent="0.3">
      <c r="A15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</row>
    <row r="16" spans="1:52" s="2" customFormat="1" x14ac:dyDescent="0.3">
      <c r="A16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</row>
    <row r="17" spans="1:52" s="2" customFormat="1" x14ac:dyDescent="0.3">
      <c r="A17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</row>
    <row r="18" spans="1:52" s="2" customFormat="1" x14ac:dyDescent="0.3">
      <c r="A18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</row>
    <row r="19" spans="1:52" s="2" customFormat="1" x14ac:dyDescent="0.3">
      <c r="A19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</row>
    <row r="20" spans="1:52" s="2" customFormat="1" x14ac:dyDescent="0.3">
      <c r="A20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</row>
    <row r="21" spans="1:52" s="2" customFormat="1" x14ac:dyDescent="0.3">
      <c r="A2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</row>
    <row r="22" spans="1:52" s="2" customFormat="1" x14ac:dyDescent="0.3">
      <c r="A22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</row>
    <row r="23" spans="1:52" s="2" customFormat="1" x14ac:dyDescent="0.3">
      <c r="A23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</row>
    <row r="24" spans="1:52" s="2" customFormat="1" x14ac:dyDescent="0.3">
      <c r="A24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</row>
    <row r="25" spans="1:52" s="2" customFormat="1" x14ac:dyDescent="0.3">
      <c r="A25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</row>
    <row r="26" spans="1:52" s="2" customFormat="1" x14ac:dyDescent="0.3">
      <c r="A26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</row>
    <row r="27" spans="1:52" s="2" customFormat="1" x14ac:dyDescent="0.3">
      <c r="A27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</row>
    <row r="28" spans="1:52" s="2" customFormat="1" x14ac:dyDescent="0.3">
      <c r="A28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</row>
    <row r="29" spans="1:52" s="2" customFormat="1" x14ac:dyDescent="0.3">
      <c r="A29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</row>
    <row r="30" spans="1:52" s="2" customFormat="1" x14ac:dyDescent="0.3">
      <c r="A30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</row>
    <row r="31" spans="1:52" s="2" customFormat="1" x14ac:dyDescent="0.3">
      <c r="A3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</row>
    <row r="32" spans="1:52" s="2" customFormat="1" x14ac:dyDescent="0.3">
      <c r="A32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</row>
    <row r="33" spans="1:52" s="2" customFormat="1" x14ac:dyDescent="0.3">
      <c r="A33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</row>
    <row r="34" spans="1:52" s="2" customFormat="1" x14ac:dyDescent="0.3">
      <c r="A3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</row>
    <row r="35" spans="1:52" s="2" customFormat="1" x14ac:dyDescent="0.3">
      <c r="A35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</row>
    <row r="36" spans="1:52" s="2" customFormat="1" x14ac:dyDescent="0.3">
      <c r="A36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</row>
  </sheetData>
  <mergeCells count="3">
    <mergeCell ref="H3:L3"/>
    <mergeCell ref="M3:O3"/>
    <mergeCell ref="P3:R3"/>
  </mergeCells>
  <phoneticPr fontId="1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276E-0535-45F1-93C4-5039B478062D}">
  <dimension ref="A1:AZ120"/>
  <sheetViews>
    <sheetView topLeftCell="A4" workbookViewId="0">
      <selection activeCell="N7" sqref="N7:N37"/>
    </sheetView>
  </sheetViews>
  <sheetFormatPr defaultRowHeight="14.4" x14ac:dyDescent="0.3"/>
  <cols>
    <col min="2" max="2" width="40.77734375" customWidth="1"/>
    <col min="3" max="3" width="35.21875" customWidth="1"/>
    <col min="4" max="4" width="18.5546875" customWidth="1"/>
    <col min="5" max="5" width="18.5546875" style="1" customWidth="1"/>
    <col min="6" max="7" width="18.5546875" style="6" customWidth="1"/>
    <col min="8" max="10" width="18.5546875" style="3" customWidth="1"/>
    <col min="11" max="11" width="18.5546875" style="1" customWidth="1"/>
    <col min="12" max="12" width="18.5546875" style="6" customWidth="1"/>
    <col min="13" max="13" width="18.5546875" style="1" customWidth="1"/>
    <col min="14" max="16" width="18.5546875" style="3" customWidth="1"/>
    <col min="17" max="17" width="17.5546875" style="4" customWidth="1"/>
  </cols>
  <sheetData>
    <row r="1" spans="1:52" x14ac:dyDescent="0.3">
      <c r="Q1"/>
    </row>
    <row r="2" spans="1:52" x14ac:dyDescent="0.3">
      <c r="Q2"/>
    </row>
    <row r="3" spans="1:52" x14ac:dyDescent="0.3">
      <c r="Q3"/>
    </row>
    <row r="4" spans="1:52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13" t="s">
        <v>22</v>
      </c>
      <c r="I4" s="13" t="s">
        <v>43</v>
      </c>
      <c r="J4" s="13" t="s">
        <v>44</v>
      </c>
      <c r="K4" s="9" t="s">
        <v>46</v>
      </c>
      <c r="L4" s="11" t="s">
        <v>48</v>
      </c>
      <c r="M4" s="9" t="s">
        <v>49</v>
      </c>
      <c r="N4" s="13" t="s">
        <v>47</v>
      </c>
      <c r="O4" s="13" t="s">
        <v>51</v>
      </c>
      <c r="P4" s="13" t="s">
        <v>50</v>
      </c>
      <c r="Q4"/>
    </row>
    <row r="5" spans="1:52" x14ac:dyDescent="0.3">
      <c r="B5" s="8" t="s">
        <v>85</v>
      </c>
      <c r="C5" s="8" t="s">
        <v>86</v>
      </c>
      <c r="D5" s="8" t="s">
        <v>6</v>
      </c>
      <c r="E5" s="10">
        <v>52245</v>
      </c>
      <c r="F5" s="12" t="s">
        <v>14</v>
      </c>
      <c r="G5" s="12" t="s">
        <v>18</v>
      </c>
      <c r="H5" s="14"/>
      <c r="I5" s="14"/>
      <c r="J5" s="14" t="s">
        <v>45</v>
      </c>
      <c r="K5" s="10"/>
      <c r="L5" s="12"/>
      <c r="M5" s="10"/>
      <c r="N5" s="14"/>
      <c r="O5" s="14"/>
      <c r="P5" s="14" t="s">
        <v>52</v>
      </c>
      <c r="Q5"/>
    </row>
    <row r="6" spans="1:52" s="2" customFormat="1" x14ac:dyDescent="0.3">
      <c r="A6"/>
      <c r="B6" s="8" t="s">
        <v>17</v>
      </c>
      <c r="C6" s="8" t="s">
        <v>61</v>
      </c>
      <c r="D6" s="8" t="s">
        <v>6</v>
      </c>
      <c r="E6" s="10">
        <v>177746</v>
      </c>
      <c r="F6" s="12"/>
      <c r="G6" s="12"/>
      <c r="H6" s="14"/>
      <c r="I6" s="14"/>
      <c r="J6" s="14"/>
      <c r="K6" s="10"/>
      <c r="L6" s="12"/>
      <c r="M6" s="10"/>
      <c r="N6" s="14"/>
      <c r="O6" s="14"/>
      <c r="P6" s="14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</row>
    <row r="7" spans="1:52" s="2" customFormat="1" x14ac:dyDescent="0.3">
      <c r="A7"/>
      <c r="B7" t="s">
        <v>109</v>
      </c>
      <c r="C7" t="s">
        <v>23</v>
      </c>
      <c r="D7" t="s">
        <v>20</v>
      </c>
      <c r="E7" s="1">
        <v>0</v>
      </c>
      <c r="F7" s="6">
        <f>IF($E$5=0,0,E7/$E$5)</f>
        <v>0</v>
      </c>
      <c r="G7" s="6">
        <f>ROUNDDOWN(F7*$E$6,0)</f>
        <v>0</v>
      </c>
      <c r="H7" s="3">
        <v>0</v>
      </c>
      <c r="I7" s="3">
        <f>IF(E7=0,0,H7/E7)</f>
        <v>0</v>
      </c>
      <c r="J7" s="3">
        <f>I7*G7</f>
        <v>0</v>
      </c>
      <c r="K7" s="1">
        <v>0</v>
      </c>
      <c r="L7" s="6">
        <f>IF($E$5=0,0,K7/$E$5)</f>
        <v>0</v>
      </c>
      <c r="M7" s="1">
        <f>ROUNDDOWN(L7*$E$6,0)</f>
        <v>0</v>
      </c>
      <c r="N7" s="3">
        <v>0</v>
      </c>
      <c r="O7" s="3">
        <f>IF(K7=0,0,N7/K7)</f>
        <v>0</v>
      </c>
      <c r="P7" s="3">
        <f>M7*O7</f>
        <v>0</v>
      </c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</row>
    <row r="8" spans="1:52" s="2" customFormat="1" x14ac:dyDescent="0.3">
      <c r="A8"/>
      <c r="B8" t="s">
        <v>109</v>
      </c>
      <c r="C8" t="s">
        <v>21</v>
      </c>
      <c r="D8" t="s">
        <v>20</v>
      </c>
      <c r="E8" s="1">
        <v>0</v>
      </c>
      <c r="F8" s="6">
        <f>IF($E$5=0,0,E8/$E$5)</f>
        <v>0</v>
      </c>
      <c r="G8" s="6">
        <f>ROUNDDOWN(F8*$E$6,0)</f>
        <v>0</v>
      </c>
      <c r="H8" s="3">
        <v>0</v>
      </c>
      <c r="I8" s="3">
        <f>IF(E8=0,0,H8/E8)</f>
        <v>0</v>
      </c>
      <c r="J8" s="3">
        <f>I8*G8</f>
        <v>0</v>
      </c>
      <c r="K8" s="1">
        <v>0</v>
      </c>
      <c r="L8" s="6">
        <f>IF($E$5=0,0,K8/$E$5)</f>
        <v>0</v>
      </c>
      <c r="M8" s="1">
        <f>ROUNDDOWN(L8*$E$6,0)</f>
        <v>0</v>
      </c>
      <c r="N8" s="3">
        <v>0</v>
      </c>
      <c r="O8" s="3">
        <f>IF(K8=0,0,N8/K8)</f>
        <v>0</v>
      </c>
      <c r="P8" s="3">
        <f>M8*O8</f>
        <v>0</v>
      </c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</row>
    <row r="9" spans="1:52" s="2" customFormat="1" x14ac:dyDescent="0.3">
      <c r="A9"/>
      <c r="B9" t="s">
        <v>109</v>
      </c>
      <c r="C9" t="s">
        <v>24</v>
      </c>
      <c r="D9" t="s">
        <v>20</v>
      </c>
      <c r="E9" s="1">
        <v>0</v>
      </c>
      <c r="F9" s="6">
        <f>IF($E$5=0,0,E9/$E$5)</f>
        <v>0</v>
      </c>
      <c r="G9" s="6">
        <f>ROUNDDOWN(F9*$E$6,0)</f>
        <v>0</v>
      </c>
      <c r="H9" s="3">
        <v>0</v>
      </c>
      <c r="I9" s="3">
        <f>IF(E9=0,0,H9/E9)</f>
        <v>0</v>
      </c>
      <c r="J9" s="3">
        <f>I9*G9</f>
        <v>0</v>
      </c>
      <c r="K9" s="1">
        <v>0</v>
      </c>
      <c r="L9" s="6">
        <f>IF($E$5=0,0,K9/$E$5)</f>
        <v>0</v>
      </c>
      <c r="M9" s="1">
        <f>ROUNDDOWN(L9*$E$6,0)</f>
        <v>0</v>
      </c>
      <c r="N9" s="3">
        <v>0</v>
      </c>
      <c r="O9" s="3">
        <f>IF(K9=0,0,N9/K9)</f>
        <v>0</v>
      </c>
      <c r="P9" s="3">
        <f>M9*O9</f>
        <v>0</v>
      </c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</row>
    <row r="10" spans="1:52" s="2" customFormat="1" x14ac:dyDescent="0.3">
      <c r="A10"/>
      <c r="B10" t="s">
        <v>109</v>
      </c>
      <c r="C10" t="s">
        <v>25</v>
      </c>
      <c r="D10" t="s">
        <v>20</v>
      </c>
      <c r="E10" s="1">
        <v>1</v>
      </c>
      <c r="F10" s="6">
        <f>IF($E$5=0,0,E10/$E$5)</f>
        <v>1.9140587616039814E-5</v>
      </c>
      <c r="G10" s="6">
        <f>ROUNDDOWN(F10*$E$6,0)</f>
        <v>3</v>
      </c>
      <c r="H10" s="3">
        <v>300</v>
      </c>
      <c r="I10" s="3">
        <f>IF(E10=0,0,H10/E10)</f>
        <v>300</v>
      </c>
      <c r="J10" s="3">
        <f>I10*G10</f>
        <v>900</v>
      </c>
      <c r="K10" s="1">
        <v>0</v>
      </c>
      <c r="L10" s="6">
        <f>IF($E$5=0,0,K10/$E$5)</f>
        <v>0</v>
      </c>
      <c r="M10" s="1">
        <f>ROUNDDOWN(L10*$E$6,0)</f>
        <v>0</v>
      </c>
      <c r="N10" s="3">
        <v>0</v>
      </c>
      <c r="O10" s="3">
        <f>IF(K10=0,0,N10/K10)</f>
        <v>0</v>
      </c>
      <c r="P10" s="3">
        <f>M10*O10</f>
        <v>0</v>
      </c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</row>
    <row r="11" spans="1:52" s="2" customFormat="1" x14ac:dyDescent="0.3">
      <c r="A11"/>
      <c r="B11" t="s">
        <v>109</v>
      </c>
      <c r="C11" t="s">
        <v>82</v>
      </c>
      <c r="D11" t="s">
        <v>20</v>
      </c>
      <c r="E11" s="1">
        <v>0</v>
      </c>
      <c r="F11" s="6">
        <f>IF($E$5=0,0,E11/$E$5)</f>
        <v>0</v>
      </c>
      <c r="G11" s="6">
        <f>ROUNDDOWN(F11*$E$6,0)</f>
        <v>0</v>
      </c>
      <c r="H11" s="3">
        <v>0</v>
      </c>
      <c r="I11" s="3">
        <f>IF(E11=0,0,H11/E11)</f>
        <v>0</v>
      </c>
      <c r="J11" s="3">
        <f>I11*G11</f>
        <v>0</v>
      </c>
      <c r="K11" s="1">
        <v>0</v>
      </c>
      <c r="L11" s="6">
        <f>IF($E$5=0,0,K11/$E$5)</f>
        <v>0</v>
      </c>
      <c r="M11" s="1">
        <f>ROUNDDOWN(L11*$E$6,0)</f>
        <v>0</v>
      </c>
      <c r="N11" s="3">
        <v>0</v>
      </c>
      <c r="O11" s="3">
        <f>IF(K11=0,0,N11/K11)</f>
        <v>0</v>
      </c>
      <c r="P11" s="3">
        <f>M11*O11</f>
        <v>0</v>
      </c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</row>
    <row r="12" spans="1:52" s="2" customFormat="1" x14ac:dyDescent="0.3">
      <c r="A12"/>
      <c r="B12" t="s">
        <v>109</v>
      </c>
      <c r="C12" t="s">
        <v>3</v>
      </c>
      <c r="D12" t="s">
        <v>20</v>
      </c>
      <c r="E12" s="1">
        <v>0</v>
      </c>
      <c r="F12" s="6">
        <f>IF($E$5=0,0,E12/$E$5)</f>
        <v>0</v>
      </c>
      <c r="G12" s="6">
        <f>ROUNDDOWN(F12*$E$6,0)</f>
        <v>0</v>
      </c>
      <c r="H12" s="3">
        <v>0</v>
      </c>
      <c r="I12" s="3">
        <f>IF(E12=0,0,H12/E12)</f>
        <v>0</v>
      </c>
      <c r="J12" s="3">
        <f>I12*G12</f>
        <v>0</v>
      </c>
      <c r="K12" s="1">
        <v>0</v>
      </c>
      <c r="L12" s="6">
        <f>IF($E$5=0,0,K12/$E$5)</f>
        <v>0</v>
      </c>
      <c r="M12" s="1">
        <f>ROUNDDOWN(L12*$E$6,0)</f>
        <v>0</v>
      </c>
      <c r="N12" s="3">
        <v>0</v>
      </c>
      <c r="O12" s="3">
        <f>IF(K12=0,0,N12/K12)</f>
        <v>0</v>
      </c>
      <c r="P12" s="3">
        <f>M12*O12</f>
        <v>0</v>
      </c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</row>
    <row r="13" spans="1:52" s="2" customFormat="1" x14ac:dyDescent="0.3">
      <c r="A13"/>
      <c r="B13" t="s">
        <v>109</v>
      </c>
      <c r="C13" t="s">
        <v>4</v>
      </c>
      <c r="D13" t="s">
        <v>20</v>
      </c>
      <c r="E13" s="1">
        <v>0</v>
      </c>
      <c r="F13" s="6">
        <f>IF($E$5=0,0,E13/$E$5)</f>
        <v>0</v>
      </c>
      <c r="G13" s="6">
        <f>ROUNDDOWN(F13*$E$6,0)</f>
        <v>0</v>
      </c>
      <c r="H13" s="3">
        <v>0</v>
      </c>
      <c r="I13" s="3">
        <f>IF(E13=0,0,H13/E13)</f>
        <v>0</v>
      </c>
      <c r="J13" s="3">
        <f>I13*G13</f>
        <v>0</v>
      </c>
      <c r="K13" s="1">
        <v>0</v>
      </c>
      <c r="L13" s="6">
        <f>IF($E$5=0,0,K13/$E$5)</f>
        <v>0</v>
      </c>
      <c r="M13" s="1">
        <f>ROUNDDOWN(L13*$E$6,0)</f>
        <v>0</v>
      </c>
      <c r="N13" s="3">
        <v>0</v>
      </c>
      <c r="O13" s="3">
        <f>IF(K13=0,0,N13/K13)</f>
        <v>0</v>
      </c>
      <c r="P13" s="3">
        <f>M13*O13</f>
        <v>0</v>
      </c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</row>
    <row r="14" spans="1:52" s="2" customFormat="1" x14ac:dyDescent="0.3">
      <c r="A14"/>
      <c r="B14" t="s">
        <v>109</v>
      </c>
      <c r="C14" t="s">
        <v>27</v>
      </c>
      <c r="D14" t="s">
        <v>20</v>
      </c>
      <c r="E14" s="1">
        <v>0</v>
      </c>
      <c r="F14" s="6">
        <f>IF($E$5=0,0,E14/$E$5)</f>
        <v>0</v>
      </c>
      <c r="G14" s="6">
        <f>ROUNDDOWN(F14*$E$6,0)</f>
        <v>0</v>
      </c>
      <c r="H14" s="3">
        <v>0</v>
      </c>
      <c r="I14" s="3">
        <f>IF(E14=0,0,H14/E14)</f>
        <v>0</v>
      </c>
      <c r="J14" s="3">
        <f>I14*G14</f>
        <v>0</v>
      </c>
      <c r="K14" s="1">
        <v>0</v>
      </c>
      <c r="L14" s="6">
        <f>IF($E$5=0,0,K14/$E$5)</f>
        <v>0</v>
      </c>
      <c r="M14" s="1">
        <f>ROUNDDOWN(L14*$E$6,0)</f>
        <v>0</v>
      </c>
      <c r="N14" s="3">
        <v>0</v>
      </c>
      <c r="O14" s="3">
        <f>IF(K14=0,0,N14/K14)</f>
        <v>0</v>
      </c>
      <c r="P14" s="3">
        <f>M14*O14</f>
        <v>0</v>
      </c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</row>
    <row r="15" spans="1:52" s="2" customFormat="1" x14ac:dyDescent="0.3">
      <c r="A15"/>
      <c r="B15" t="s">
        <v>109</v>
      </c>
      <c r="C15" t="s">
        <v>7</v>
      </c>
      <c r="D15" t="s">
        <v>20</v>
      </c>
      <c r="E15" s="1">
        <v>2</v>
      </c>
      <c r="F15" s="6">
        <f>IF($E$5=0,0,E15/$E$5)</f>
        <v>3.8281175232079628E-5</v>
      </c>
      <c r="G15" s="6">
        <f>ROUNDDOWN(F15*$E$6,0)</f>
        <v>6</v>
      </c>
      <c r="H15" s="3">
        <v>0</v>
      </c>
      <c r="I15" s="3">
        <f>IF(E15=0,0,H15/E15)</f>
        <v>0</v>
      </c>
      <c r="J15" s="3">
        <f>I15*G15</f>
        <v>0</v>
      </c>
      <c r="K15" s="1">
        <v>0</v>
      </c>
      <c r="L15" s="6">
        <f>IF($E$5=0,0,K15/$E$5)</f>
        <v>0</v>
      </c>
      <c r="M15" s="1">
        <f>ROUNDDOWN(L15*$E$6,0)</f>
        <v>0</v>
      </c>
      <c r="N15" s="3">
        <v>0</v>
      </c>
      <c r="O15" s="3">
        <f>IF(K15=0,0,N15/K15)</f>
        <v>0</v>
      </c>
      <c r="P15" s="3">
        <f>M15*O15</f>
        <v>0</v>
      </c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</row>
    <row r="16" spans="1:52" s="2" customFormat="1" x14ac:dyDescent="0.3">
      <c r="A16"/>
      <c r="B16" t="s">
        <v>109</v>
      </c>
      <c r="C16" t="s">
        <v>28</v>
      </c>
      <c r="D16" t="s">
        <v>20</v>
      </c>
      <c r="E16" s="1">
        <v>1</v>
      </c>
      <c r="F16" s="6">
        <f>IF($E$5=0,0,E16/$E$5)</f>
        <v>1.9140587616039814E-5</v>
      </c>
      <c r="G16" s="6">
        <f>ROUNDDOWN(F16*$E$6,0)</f>
        <v>3</v>
      </c>
      <c r="H16" s="3">
        <v>300</v>
      </c>
      <c r="I16" s="3">
        <f>IF(E16=0,0,H16/E16)</f>
        <v>300</v>
      </c>
      <c r="J16" s="3">
        <f>I16*G16</f>
        <v>900</v>
      </c>
      <c r="K16" s="1">
        <v>0</v>
      </c>
      <c r="L16" s="6">
        <f>IF($E$5=0,0,K16/$E$5)</f>
        <v>0</v>
      </c>
      <c r="M16" s="1">
        <f>ROUNDDOWN(L16*$E$6,0)</f>
        <v>0</v>
      </c>
      <c r="N16" s="3">
        <v>0</v>
      </c>
      <c r="O16" s="3">
        <f>IF(K16=0,0,N16/K16)</f>
        <v>0</v>
      </c>
      <c r="P16" s="3">
        <f>M16*O16</f>
        <v>0</v>
      </c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</row>
    <row r="17" spans="1:52" s="2" customFormat="1" x14ac:dyDescent="0.3">
      <c r="A17"/>
      <c r="B17" t="s">
        <v>109</v>
      </c>
      <c r="C17" t="s">
        <v>29</v>
      </c>
      <c r="D17" t="s">
        <v>20</v>
      </c>
      <c r="E17" s="1">
        <v>0</v>
      </c>
      <c r="F17" s="6">
        <f>IF($E$5=0,0,E17/$E$5)</f>
        <v>0</v>
      </c>
      <c r="G17" s="6">
        <f>ROUNDDOWN(F17*$E$6,0)</f>
        <v>0</v>
      </c>
      <c r="H17" s="3">
        <v>0</v>
      </c>
      <c r="I17" s="3">
        <f>IF(E17=0,0,H17/E17)</f>
        <v>0</v>
      </c>
      <c r="J17" s="3">
        <f>I17*G17</f>
        <v>0</v>
      </c>
      <c r="K17" s="1">
        <v>0</v>
      </c>
      <c r="L17" s="6">
        <f>IF($E$5=0,0,K17/$E$5)</f>
        <v>0</v>
      </c>
      <c r="M17" s="1">
        <f>ROUNDDOWN(L17*$E$6,0)</f>
        <v>0</v>
      </c>
      <c r="N17" s="3">
        <v>0</v>
      </c>
      <c r="O17" s="3">
        <f>IF(K17=0,0,N17/K17)</f>
        <v>0</v>
      </c>
      <c r="P17" s="3">
        <f>M17*O17</f>
        <v>0</v>
      </c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</row>
    <row r="18" spans="1:52" s="2" customFormat="1" x14ac:dyDescent="0.3">
      <c r="A18"/>
      <c r="B18" t="s">
        <v>109</v>
      </c>
      <c r="C18" t="s">
        <v>30</v>
      </c>
      <c r="D18" t="s">
        <v>20</v>
      </c>
      <c r="E18" s="1">
        <v>0</v>
      </c>
      <c r="F18" s="6">
        <f>IF($E$5=0,0,E18/$E$5)</f>
        <v>0</v>
      </c>
      <c r="G18" s="6">
        <f>ROUNDDOWN(F18*$E$6,0)</f>
        <v>0</v>
      </c>
      <c r="H18" s="3">
        <v>0</v>
      </c>
      <c r="I18" s="3">
        <f>IF(E18=0,0,H18/E18)</f>
        <v>0</v>
      </c>
      <c r="J18" s="3">
        <f>I18*G18</f>
        <v>0</v>
      </c>
      <c r="K18" s="1">
        <v>0</v>
      </c>
      <c r="L18" s="6">
        <f>IF($E$5=0,0,K18/$E$5)</f>
        <v>0</v>
      </c>
      <c r="M18" s="1">
        <f>ROUNDDOWN(L18*$E$6,0)</f>
        <v>0</v>
      </c>
      <c r="N18" s="3">
        <v>0</v>
      </c>
      <c r="O18" s="3">
        <f>IF(K18=0,0,N18/K18)</f>
        <v>0</v>
      </c>
      <c r="P18" s="3">
        <f>M18*O18</f>
        <v>0</v>
      </c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</row>
    <row r="19" spans="1:52" s="2" customFormat="1" x14ac:dyDescent="0.3">
      <c r="A19"/>
      <c r="B19" t="s">
        <v>109</v>
      </c>
      <c r="C19" t="s">
        <v>31</v>
      </c>
      <c r="D19" t="s">
        <v>20</v>
      </c>
      <c r="E19" s="1">
        <v>0</v>
      </c>
      <c r="F19" s="6">
        <f>IF($E$5=0,0,E19/$E$5)</f>
        <v>0</v>
      </c>
      <c r="G19" s="6">
        <f>ROUNDDOWN(F19*$E$6,0)</f>
        <v>0</v>
      </c>
      <c r="H19" s="3">
        <v>0</v>
      </c>
      <c r="I19" s="3">
        <f>IF(E19=0,0,H19/E19)</f>
        <v>0</v>
      </c>
      <c r="J19" s="3">
        <f>I19*G19</f>
        <v>0</v>
      </c>
      <c r="K19" s="1">
        <v>0</v>
      </c>
      <c r="L19" s="6">
        <f>IF($E$5=0,0,K19/$E$5)</f>
        <v>0</v>
      </c>
      <c r="M19" s="1">
        <f>ROUNDDOWN(L19*$E$6,0)</f>
        <v>0</v>
      </c>
      <c r="N19" s="3">
        <v>0</v>
      </c>
      <c r="O19" s="3">
        <f>IF(K19=0,0,N19/K19)</f>
        <v>0</v>
      </c>
      <c r="P19" s="3">
        <f>M19*O19</f>
        <v>0</v>
      </c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</row>
    <row r="20" spans="1:52" s="2" customFormat="1" x14ac:dyDescent="0.3">
      <c r="A20"/>
      <c r="B20" t="s">
        <v>109</v>
      </c>
      <c r="C20" t="s">
        <v>32</v>
      </c>
      <c r="D20" t="s">
        <v>20</v>
      </c>
      <c r="E20" s="1">
        <v>0</v>
      </c>
      <c r="F20" s="6">
        <f>IF($E$5=0,0,E20/$E$5)</f>
        <v>0</v>
      </c>
      <c r="G20" s="6">
        <f>ROUNDDOWN(F20*$E$6,0)</f>
        <v>0</v>
      </c>
      <c r="H20" s="3">
        <v>0</v>
      </c>
      <c r="I20" s="3">
        <f>IF(E20=0,0,H20/E20)</f>
        <v>0</v>
      </c>
      <c r="J20" s="3">
        <f>I20*G20</f>
        <v>0</v>
      </c>
      <c r="K20" s="1">
        <v>0</v>
      </c>
      <c r="L20" s="6">
        <f>IF($E$5=0,0,K20/$E$5)</f>
        <v>0</v>
      </c>
      <c r="M20" s="1">
        <f>ROUNDDOWN(L20*$E$6,0)</f>
        <v>0</v>
      </c>
      <c r="N20" s="3">
        <v>0</v>
      </c>
      <c r="O20" s="3">
        <f>IF(K20=0,0,N20/K20)</f>
        <v>0</v>
      </c>
      <c r="P20" s="3">
        <f>M20*O20</f>
        <v>0</v>
      </c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</row>
    <row r="21" spans="1:52" s="2" customFormat="1" x14ac:dyDescent="0.3">
      <c r="A21"/>
      <c r="B21" t="s">
        <v>109</v>
      </c>
      <c r="C21" t="s">
        <v>33</v>
      </c>
      <c r="D21" t="s">
        <v>20</v>
      </c>
      <c r="E21" s="1">
        <v>0</v>
      </c>
      <c r="F21" s="6">
        <f>IF($E$5=0,0,E21/$E$5)</f>
        <v>0</v>
      </c>
      <c r="G21" s="6">
        <f>ROUNDDOWN(F21*$E$6,0)</f>
        <v>0</v>
      </c>
      <c r="H21" s="3">
        <v>0</v>
      </c>
      <c r="I21" s="3">
        <f>IF(E21=0,0,H21/E21)</f>
        <v>0</v>
      </c>
      <c r="J21" s="3">
        <f>I21*G21</f>
        <v>0</v>
      </c>
      <c r="K21" s="1">
        <v>0</v>
      </c>
      <c r="L21" s="6">
        <f>IF($E$5=0,0,K21/$E$5)</f>
        <v>0</v>
      </c>
      <c r="M21" s="1">
        <f>ROUNDDOWN(L21*$E$6,0)</f>
        <v>0</v>
      </c>
      <c r="N21" s="3">
        <v>0</v>
      </c>
      <c r="O21" s="3">
        <f>IF(K21=0,0,N21/K21)</f>
        <v>0</v>
      </c>
      <c r="P21" s="3">
        <f>M21*O21</f>
        <v>0</v>
      </c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</row>
    <row r="22" spans="1:52" s="2" customFormat="1" x14ac:dyDescent="0.3">
      <c r="A22"/>
      <c r="B22" t="s">
        <v>109</v>
      </c>
      <c r="C22" t="s">
        <v>8</v>
      </c>
      <c r="D22" t="s">
        <v>20</v>
      </c>
      <c r="E22" s="1">
        <v>0</v>
      </c>
      <c r="F22" s="6">
        <f>IF($E$5=0,0,E22/$E$5)</f>
        <v>0</v>
      </c>
      <c r="G22" s="6">
        <f>ROUNDDOWN(F22*$E$6,0)</f>
        <v>0</v>
      </c>
      <c r="H22" s="3">
        <v>0</v>
      </c>
      <c r="I22" s="3">
        <f>IF(E22=0,0,H22/E22)</f>
        <v>0</v>
      </c>
      <c r="J22" s="3">
        <f>I22*G22</f>
        <v>0</v>
      </c>
      <c r="K22" s="1">
        <v>0</v>
      </c>
      <c r="L22" s="6">
        <f>IF($E$5=0,0,K22/$E$5)</f>
        <v>0</v>
      </c>
      <c r="M22" s="1">
        <f>ROUNDDOWN(L22*$E$6,0)</f>
        <v>0</v>
      </c>
      <c r="N22" s="3">
        <v>0</v>
      </c>
      <c r="O22" s="3">
        <f>IF(K22=0,0,N22/K22)</f>
        <v>0</v>
      </c>
      <c r="P22" s="3">
        <f>M22*O22</f>
        <v>0</v>
      </c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</row>
    <row r="23" spans="1:52" s="2" customFormat="1" x14ac:dyDescent="0.3">
      <c r="A23"/>
      <c r="B23" t="s">
        <v>109</v>
      </c>
      <c r="C23" t="s">
        <v>34</v>
      </c>
      <c r="D23" t="s">
        <v>20</v>
      </c>
      <c r="E23" s="1">
        <v>0</v>
      </c>
      <c r="F23" s="6">
        <f>IF($E$5=0,0,E23/$E$5)</f>
        <v>0</v>
      </c>
      <c r="G23" s="6">
        <f>ROUNDDOWN(F23*$E$6,0)</f>
        <v>0</v>
      </c>
      <c r="H23" s="3">
        <v>0</v>
      </c>
      <c r="I23" s="3">
        <f>IF(E23=0,0,H23/E23)</f>
        <v>0</v>
      </c>
      <c r="J23" s="3">
        <f>I23*G23</f>
        <v>0</v>
      </c>
      <c r="K23" s="1">
        <v>0</v>
      </c>
      <c r="L23" s="6">
        <f>IF($E$5=0,0,K23/$E$5)</f>
        <v>0</v>
      </c>
      <c r="M23" s="1">
        <f>ROUNDDOWN(L23*$E$6,0)</f>
        <v>0</v>
      </c>
      <c r="N23" s="3">
        <v>0</v>
      </c>
      <c r="O23" s="3">
        <f>IF(K23=0,0,N23/K23)</f>
        <v>0</v>
      </c>
      <c r="P23" s="3">
        <f>M23*O23</f>
        <v>0</v>
      </c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</row>
    <row r="24" spans="1:52" s="2" customFormat="1" x14ac:dyDescent="0.3">
      <c r="A24"/>
      <c r="B24" t="s">
        <v>109</v>
      </c>
      <c r="C24" t="s">
        <v>35</v>
      </c>
      <c r="D24" t="s">
        <v>20</v>
      </c>
      <c r="E24" s="1">
        <v>0</v>
      </c>
      <c r="F24" s="6">
        <f>IF($E$5=0,0,E24/$E$5)</f>
        <v>0</v>
      </c>
      <c r="G24" s="6">
        <f>ROUNDDOWN(F24*$E$6,0)</f>
        <v>0</v>
      </c>
      <c r="H24" s="3">
        <v>0</v>
      </c>
      <c r="I24" s="3">
        <f>IF(E24=0,0,H24/E24)</f>
        <v>0</v>
      </c>
      <c r="J24" s="3">
        <f>I24*G24</f>
        <v>0</v>
      </c>
      <c r="K24" s="1">
        <v>0</v>
      </c>
      <c r="L24" s="6">
        <f>IF($E$5=0,0,K24/$E$5)</f>
        <v>0</v>
      </c>
      <c r="M24" s="1">
        <f>ROUNDDOWN(L24*$E$6,0)</f>
        <v>0</v>
      </c>
      <c r="N24" s="3">
        <v>0</v>
      </c>
      <c r="O24" s="3">
        <f>IF(K24=0,0,N24/K24)</f>
        <v>0</v>
      </c>
      <c r="P24" s="3">
        <f>M24*O24</f>
        <v>0</v>
      </c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</row>
    <row r="25" spans="1:52" s="2" customFormat="1" x14ac:dyDescent="0.3">
      <c r="A25"/>
      <c r="B25" t="s">
        <v>109</v>
      </c>
      <c r="C25" t="s">
        <v>36</v>
      </c>
      <c r="D25" t="s">
        <v>20</v>
      </c>
      <c r="E25" s="1">
        <v>1</v>
      </c>
      <c r="F25" s="6">
        <f>IF($E$5=0,0,E25/$E$5)</f>
        <v>1.9140587616039814E-5</v>
      </c>
      <c r="G25" s="6">
        <f>ROUNDDOWN(F25*$E$6,0)</f>
        <v>3</v>
      </c>
      <c r="H25" s="3">
        <v>0</v>
      </c>
      <c r="I25" s="3">
        <f>IF(E25=0,0,H25/E25)</f>
        <v>0</v>
      </c>
      <c r="J25" s="3">
        <f>I25*G25</f>
        <v>0</v>
      </c>
      <c r="K25" s="1">
        <v>1</v>
      </c>
      <c r="L25" s="6">
        <f>IF($E$5=0,0,K25/$E$5)</f>
        <v>1.9140587616039814E-5</v>
      </c>
      <c r="M25" s="1">
        <f>ROUNDDOWN(L25*$E$6,0)</f>
        <v>3</v>
      </c>
      <c r="N25" s="3">
        <v>0</v>
      </c>
      <c r="O25" s="3">
        <f>IF(K25=0,0,N25/K25)</f>
        <v>0</v>
      </c>
      <c r="P25" s="3">
        <f>M25*O25</f>
        <v>0</v>
      </c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</row>
    <row r="26" spans="1:52" s="2" customFormat="1" x14ac:dyDescent="0.3">
      <c r="A26"/>
      <c r="B26" t="s">
        <v>109</v>
      </c>
      <c r="C26" t="s">
        <v>37</v>
      </c>
      <c r="D26" t="s">
        <v>20</v>
      </c>
      <c r="E26" s="1">
        <v>0</v>
      </c>
      <c r="F26" s="6">
        <f>IF($E$5=0,0,E26/$E$5)</f>
        <v>0</v>
      </c>
      <c r="G26" s="6">
        <f>ROUNDDOWN(F26*$E$6,0)</f>
        <v>0</v>
      </c>
      <c r="H26" s="3">
        <v>0</v>
      </c>
      <c r="I26" s="3">
        <f>IF(E26=0,0,H26/E26)</f>
        <v>0</v>
      </c>
      <c r="J26" s="3">
        <f>I26*G26</f>
        <v>0</v>
      </c>
      <c r="K26" s="1">
        <v>0</v>
      </c>
      <c r="L26" s="6">
        <f>IF($E$5=0,0,K26/$E$5)</f>
        <v>0</v>
      </c>
      <c r="M26" s="1">
        <f>ROUNDDOWN(L26*$E$6,0)</f>
        <v>0</v>
      </c>
      <c r="N26" s="3">
        <v>0</v>
      </c>
      <c r="O26" s="3">
        <f>IF(K26=0,0,N26/K26)</f>
        <v>0</v>
      </c>
      <c r="P26" s="3">
        <f>M26*O26</f>
        <v>0</v>
      </c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</row>
    <row r="27" spans="1:52" s="2" customFormat="1" x14ac:dyDescent="0.3">
      <c r="A27"/>
      <c r="B27" t="s">
        <v>109</v>
      </c>
      <c r="C27" t="s">
        <v>38</v>
      </c>
      <c r="D27" t="s">
        <v>20</v>
      </c>
      <c r="E27" s="1">
        <v>0</v>
      </c>
      <c r="F27" s="6">
        <f>IF($E$5=0,0,E27/$E$5)</f>
        <v>0</v>
      </c>
      <c r="G27" s="6">
        <f>ROUNDDOWN(F27*$E$6,0)</f>
        <v>0</v>
      </c>
      <c r="H27" s="3">
        <v>0</v>
      </c>
      <c r="I27" s="3">
        <f>IF(E27=0,0,H27/E27)</f>
        <v>0</v>
      </c>
      <c r="J27" s="3">
        <f>I27*G27</f>
        <v>0</v>
      </c>
      <c r="K27" s="1">
        <v>0</v>
      </c>
      <c r="L27" s="6">
        <f>IF($E$5=0,0,K27/$E$5)</f>
        <v>0</v>
      </c>
      <c r="M27" s="1">
        <f>ROUNDDOWN(L27*$E$6,0)</f>
        <v>0</v>
      </c>
      <c r="N27" s="3">
        <v>0</v>
      </c>
      <c r="O27" s="3">
        <f>IF(K27=0,0,N27/K27)</f>
        <v>0</v>
      </c>
      <c r="P27" s="3">
        <f>M27*O27</f>
        <v>0</v>
      </c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</row>
    <row r="28" spans="1:52" s="2" customFormat="1" x14ac:dyDescent="0.3">
      <c r="A28"/>
      <c r="B28" t="s">
        <v>109</v>
      </c>
      <c r="C28" t="s">
        <v>39</v>
      </c>
      <c r="D28" t="s">
        <v>20</v>
      </c>
      <c r="E28" s="1">
        <v>0</v>
      </c>
      <c r="F28" s="6">
        <f>IF($E$5=0,0,E28/$E$5)</f>
        <v>0</v>
      </c>
      <c r="G28" s="6">
        <f>ROUNDDOWN(F28*$E$6,0)</f>
        <v>0</v>
      </c>
      <c r="H28" s="3">
        <v>0</v>
      </c>
      <c r="I28" s="3">
        <f>IF(E28=0,0,H28/E28)</f>
        <v>0</v>
      </c>
      <c r="J28" s="3">
        <f>I28*G28</f>
        <v>0</v>
      </c>
      <c r="K28" s="1">
        <v>1</v>
      </c>
      <c r="L28" s="6">
        <f>IF($E$5=0,0,K28/$E$5)</f>
        <v>1.9140587616039814E-5</v>
      </c>
      <c r="M28" s="1">
        <f>ROUNDDOWN(L28*$E$6,0)</f>
        <v>3</v>
      </c>
      <c r="N28" s="3">
        <v>0</v>
      </c>
      <c r="O28" s="3">
        <f>IF(K28=0,0,N28/K28)</f>
        <v>0</v>
      </c>
      <c r="P28" s="3">
        <f>M28*O28</f>
        <v>0</v>
      </c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</row>
    <row r="29" spans="1:52" s="2" customFormat="1" x14ac:dyDescent="0.3">
      <c r="A29"/>
      <c r="B29" t="s">
        <v>109</v>
      </c>
      <c r="C29" t="s">
        <v>9</v>
      </c>
      <c r="D29" t="s">
        <v>20</v>
      </c>
      <c r="E29" s="1">
        <v>2</v>
      </c>
      <c r="F29" s="6">
        <f>IF($E$5=0,0,E29/$E$5)</f>
        <v>3.8281175232079628E-5</v>
      </c>
      <c r="G29" s="6">
        <f>ROUNDDOWN(F29*$E$6,0)</f>
        <v>6</v>
      </c>
      <c r="H29" s="3">
        <v>0</v>
      </c>
      <c r="I29" s="3">
        <f>IF(E29=0,0,H29/E29)</f>
        <v>0</v>
      </c>
      <c r="J29" s="3">
        <f>I29*G29</f>
        <v>0</v>
      </c>
      <c r="K29" s="1">
        <v>0</v>
      </c>
      <c r="L29" s="6">
        <f>IF($E$5=0,0,K29/$E$5)</f>
        <v>0</v>
      </c>
      <c r="M29" s="1">
        <f>ROUNDDOWN(L29*$E$6,0)</f>
        <v>0</v>
      </c>
      <c r="N29" s="3">
        <v>0</v>
      </c>
      <c r="O29" s="3">
        <f>IF(K29=0,0,N29/K29)</f>
        <v>0</v>
      </c>
      <c r="P29" s="3">
        <f>M29*O29</f>
        <v>0</v>
      </c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</row>
    <row r="30" spans="1:52" s="2" customFormat="1" x14ac:dyDescent="0.3">
      <c r="A30"/>
      <c r="B30" t="s">
        <v>109</v>
      </c>
      <c r="C30" t="s">
        <v>10</v>
      </c>
      <c r="D30" t="s">
        <v>20</v>
      </c>
      <c r="E30" s="1">
        <v>1</v>
      </c>
      <c r="F30" s="6">
        <f>IF($E$5=0,0,E30/$E$5)</f>
        <v>1.9140587616039814E-5</v>
      </c>
      <c r="G30" s="6">
        <f>ROUNDDOWN(F30*$E$6,0)</f>
        <v>3</v>
      </c>
      <c r="H30" s="3">
        <v>0</v>
      </c>
      <c r="I30" s="3">
        <f>IF(E30=0,0,H30/E30)</f>
        <v>0</v>
      </c>
      <c r="J30" s="3">
        <f>I30*G30</f>
        <v>0</v>
      </c>
      <c r="K30" s="1">
        <v>0</v>
      </c>
      <c r="L30" s="6">
        <f>IF($E$5=0,0,K30/$E$5)</f>
        <v>0</v>
      </c>
      <c r="M30" s="1">
        <f>ROUNDDOWN(L30*$E$6,0)</f>
        <v>0</v>
      </c>
      <c r="N30" s="3">
        <v>0</v>
      </c>
      <c r="O30" s="3">
        <f>IF(K30=0,0,N30/K30)</f>
        <v>0</v>
      </c>
      <c r="P30" s="3">
        <f>M30*O30</f>
        <v>0</v>
      </c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</row>
    <row r="31" spans="1:52" s="2" customFormat="1" x14ac:dyDescent="0.3">
      <c r="A31"/>
      <c r="B31" t="s">
        <v>109</v>
      </c>
      <c r="C31" t="s">
        <v>11</v>
      </c>
      <c r="D31" t="s">
        <v>20</v>
      </c>
      <c r="E31" s="1">
        <v>0</v>
      </c>
      <c r="F31" s="6">
        <f>IF($E$5=0,0,E31/$E$5)</f>
        <v>0</v>
      </c>
      <c r="G31" s="6">
        <f>ROUNDDOWN(F31*$E$6,0)</f>
        <v>0</v>
      </c>
      <c r="H31" s="3">
        <v>0</v>
      </c>
      <c r="I31" s="3">
        <f>IF(E31=0,0,H31/E31)</f>
        <v>0</v>
      </c>
      <c r="J31" s="3">
        <f>I31*G31</f>
        <v>0</v>
      </c>
      <c r="K31" s="1">
        <v>0</v>
      </c>
      <c r="L31" s="6">
        <f>IF($E$5=0,0,K31/$E$5)</f>
        <v>0</v>
      </c>
      <c r="M31" s="1">
        <f>ROUNDDOWN(L31*$E$6,0)</f>
        <v>0</v>
      </c>
      <c r="N31" s="3">
        <v>0</v>
      </c>
      <c r="O31" s="3">
        <f>IF(K31=0,0,N31/K31)</f>
        <v>0</v>
      </c>
      <c r="P31" s="3">
        <f>M31*O31</f>
        <v>0</v>
      </c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</row>
    <row r="32" spans="1:52" s="2" customFormat="1" x14ac:dyDescent="0.3">
      <c r="A32"/>
      <c r="B32" t="s">
        <v>109</v>
      </c>
      <c r="C32" t="s">
        <v>40</v>
      </c>
      <c r="D32" t="s">
        <v>20</v>
      </c>
      <c r="E32" s="1">
        <v>0</v>
      </c>
      <c r="F32" s="6">
        <f>IF($E$5=0,0,E32/$E$5)</f>
        <v>0</v>
      </c>
      <c r="G32" s="6">
        <f>ROUNDDOWN(F32*$E$6,0)</f>
        <v>0</v>
      </c>
      <c r="H32" s="3">
        <v>0</v>
      </c>
      <c r="I32" s="3">
        <f>IF(E32=0,0,H32/E32)</f>
        <v>0</v>
      </c>
      <c r="J32" s="3">
        <f>I32*G32</f>
        <v>0</v>
      </c>
      <c r="K32" s="1">
        <v>0</v>
      </c>
      <c r="L32" s="6">
        <f>IF($E$5=0,0,K32/$E$5)</f>
        <v>0</v>
      </c>
      <c r="M32" s="1">
        <f>ROUNDDOWN(L32*$E$6,0)</f>
        <v>0</v>
      </c>
      <c r="N32" s="3">
        <v>0</v>
      </c>
      <c r="O32" s="3">
        <f>IF(K32=0,0,N32/K32)</f>
        <v>0</v>
      </c>
      <c r="P32" s="3">
        <f>M32*O32</f>
        <v>0</v>
      </c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</row>
    <row r="33" spans="1:52" s="2" customFormat="1" x14ac:dyDescent="0.3">
      <c r="A33"/>
      <c r="B33" t="s">
        <v>109</v>
      </c>
      <c r="C33" t="s">
        <v>41</v>
      </c>
      <c r="D33" t="s">
        <v>20</v>
      </c>
      <c r="E33" s="1">
        <v>0</v>
      </c>
      <c r="F33" s="6">
        <f>IF($E$5=0,0,E33/$E$5)</f>
        <v>0</v>
      </c>
      <c r="G33" s="6">
        <f>ROUNDDOWN(F33*$E$6,0)</f>
        <v>0</v>
      </c>
      <c r="H33" s="3">
        <v>0</v>
      </c>
      <c r="I33" s="3">
        <f>IF(E33=0,0,H33/E33)</f>
        <v>0</v>
      </c>
      <c r="J33" s="3">
        <f>I33*G33</f>
        <v>0</v>
      </c>
      <c r="K33" s="1">
        <v>0</v>
      </c>
      <c r="L33" s="6">
        <f>IF($E$5=0,0,K33/$E$5)</f>
        <v>0</v>
      </c>
      <c r="M33" s="1">
        <f>ROUNDDOWN(L33*$E$6,0)</f>
        <v>0</v>
      </c>
      <c r="N33" s="3">
        <v>0</v>
      </c>
      <c r="O33" s="3">
        <f>IF(K33=0,0,N33/K33)</f>
        <v>0</v>
      </c>
      <c r="P33" s="3">
        <f>M33*O33</f>
        <v>0</v>
      </c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</row>
    <row r="34" spans="1:52" s="2" customFormat="1" x14ac:dyDescent="0.3">
      <c r="A34"/>
      <c r="B34" t="s">
        <v>109</v>
      </c>
      <c r="C34" t="s">
        <v>12</v>
      </c>
      <c r="D34" t="s">
        <v>20</v>
      </c>
      <c r="E34" s="1">
        <v>0</v>
      </c>
      <c r="F34" s="6">
        <f>IF($E$5=0,0,E34/$E$5)</f>
        <v>0</v>
      </c>
      <c r="G34" s="6">
        <f>ROUNDDOWN(F34*$E$6,0)</f>
        <v>0</v>
      </c>
      <c r="H34" s="3">
        <v>0</v>
      </c>
      <c r="I34" s="3">
        <f>IF(E34=0,0,H34/E34)</f>
        <v>0</v>
      </c>
      <c r="J34" s="3">
        <f>I34*G34</f>
        <v>0</v>
      </c>
      <c r="K34" s="1">
        <v>0</v>
      </c>
      <c r="L34" s="6">
        <f>IF($E$5=0,0,K34/$E$5)</f>
        <v>0</v>
      </c>
      <c r="M34" s="1">
        <f>ROUNDDOWN(L34*$E$6,0)</f>
        <v>0</v>
      </c>
      <c r="N34" s="3">
        <v>0</v>
      </c>
      <c r="O34" s="3">
        <f>IF(K34=0,0,N34/K34)</f>
        <v>0</v>
      </c>
      <c r="P34" s="3">
        <f>M34*O34</f>
        <v>0</v>
      </c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</row>
    <row r="35" spans="1:52" s="2" customFormat="1" x14ac:dyDescent="0.3">
      <c r="A35"/>
      <c r="B35" t="s">
        <v>109</v>
      </c>
      <c r="C35" t="s">
        <v>42</v>
      </c>
      <c r="D35" t="s">
        <v>20</v>
      </c>
      <c r="E35" s="1">
        <v>1</v>
      </c>
      <c r="F35" s="6">
        <f>IF($E$5=0,0,E35/$E$5)</f>
        <v>1.9140587616039814E-5</v>
      </c>
      <c r="G35" s="6">
        <f>ROUNDDOWN(F35*$E$6,0)</f>
        <v>3</v>
      </c>
      <c r="H35" s="3">
        <v>0</v>
      </c>
      <c r="I35" s="3">
        <f>IF(E35=0,0,H35/E35)</f>
        <v>0</v>
      </c>
      <c r="J35" s="3">
        <f>I35*G35</f>
        <v>0</v>
      </c>
      <c r="K35" s="1">
        <v>0</v>
      </c>
      <c r="L35" s="6">
        <f>IF($E$5=0,0,K35/$E$5)</f>
        <v>0</v>
      </c>
      <c r="M35" s="1">
        <f>ROUNDDOWN(L35*$E$6,0)</f>
        <v>0</v>
      </c>
      <c r="N35" s="3">
        <v>0</v>
      </c>
      <c r="O35" s="3">
        <f>IF(K35=0,0,N35/K35)</f>
        <v>0</v>
      </c>
      <c r="P35" s="3">
        <f>M35*O35</f>
        <v>0</v>
      </c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</row>
    <row r="36" spans="1:52" s="2" customFormat="1" x14ac:dyDescent="0.3">
      <c r="A36"/>
      <c r="B36" t="s">
        <v>109</v>
      </c>
      <c r="C36" t="s">
        <v>13</v>
      </c>
      <c r="D36" t="s">
        <v>20</v>
      </c>
      <c r="E36" s="1">
        <v>3</v>
      </c>
      <c r="F36" s="6">
        <f>IF($E$5=0,0,E36/$E$5)</f>
        <v>5.7421762848119435E-5</v>
      </c>
      <c r="G36" s="6">
        <f>ROUNDDOWN(F36*$E$6,0)</f>
        <v>10</v>
      </c>
      <c r="H36" s="3">
        <v>0</v>
      </c>
      <c r="I36" s="3">
        <f>IF(E36=0,0,H36/E36)</f>
        <v>0</v>
      </c>
      <c r="J36" s="3">
        <f>I36*G36</f>
        <v>0</v>
      </c>
      <c r="K36" s="1">
        <v>0</v>
      </c>
      <c r="L36" s="6">
        <f>IF($E$5=0,0,K36/$E$5)</f>
        <v>0</v>
      </c>
      <c r="M36" s="1">
        <f>ROUNDDOWN(L36*$E$6,0)</f>
        <v>0</v>
      </c>
      <c r="N36" s="3">
        <v>0</v>
      </c>
      <c r="O36" s="3">
        <f>IF(K36=0,0,N36/K36)</f>
        <v>0</v>
      </c>
      <c r="P36" s="3">
        <f>M36*O36</f>
        <v>0</v>
      </c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</row>
    <row r="37" spans="1:52" x14ac:dyDescent="0.3">
      <c r="Q37"/>
    </row>
    <row r="38" spans="1:52" x14ac:dyDescent="0.3">
      <c r="E38" s="1">
        <f>SUM(E7:E36)</f>
        <v>12</v>
      </c>
      <c r="G38" s="6">
        <f>SUM(G7:G36)</f>
        <v>37</v>
      </c>
      <c r="H38" s="3">
        <f>SUM(H7:H36)</f>
        <v>600</v>
      </c>
      <c r="I38" s="3">
        <f>IF(E38=0,0,H38/E38)</f>
        <v>50</v>
      </c>
      <c r="J38" s="3">
        <f>G38*I38</f>
        <v>1850</v>
      </c>
      <c r="K38" s="1">
        <f>SUM(K7:K36)</f>
        <v>2</v>
      </c>
      <c r="M38" s="1">
        <f>SUM(M7:M36)</f>
        <v>6</v>
      </c>
      <c r="N38" s="3">
        <f>SUM(N7:N36)</f>
        <v>0</v>
      </c>
      <c r="O38" s="3">
        <f>IF(K38=0,0,N38/K38)</f>
        <v>0</v>
      </c>
      <c r="P38" s="3">
        <f>M38*O38</f>
        <v>0</v>
      </c>
      <c r="Q38"/>
    </row>
    <row r="39" spans="1:52" x14ac:dyDescent="0.3">
      <c r="Q39"/>
    </row>
    <row r="40" spans="1:52" x14ac:dyDescent="0.3">
      <c r="Q40"/>
    </row>
    <row r="41" spans="1:52" x14ac:dyDescent="0.3">
      <c r="Q41"/>
    </row>
    <row r="42" spans="1:52" x14ac:dyDescent="0.3">
      <c r="Q42"/>
    </row>
    <row r="43" spans="1:52" x14ac:dyDescent="0.3">
      <c r="Q43"/>
    </row>
    <row r="44" spans="1:52" x14ac:dyDescent="0.3">
      <c r="Q44"/>
    </row>
    <row r="45" spans="1:52" x14ac:dyDescent="0.3">
      <c r="Q45"/>
    </row>
    <row r="46" spans="1:52" x14ac:dyDescent="0.3">
      <c r="Q46"/>
    </row>
    <row r="47" spans="1:52" x14ac:dyDescent="0.3">
      <c r="Q47"/>
    </row>
    <row r="48" spans="1:52" x14ac:dyDescent="0.3">
      <c r="Q48"/>
    </row>
    <row r="49" spans="17:17" x14ac:dyDescent="0.3">
      <c r="Q49"/>
    </row>
    <row r="50" spans="17:17" x14ac:dyDescent="0.3">
      <c r="Q50"/>
    </row>
    <row r="51" spans="17:17" x14ac:dyDescent="0.3">
      <c r="Q51"/>
    </row>
    <row r="52" spans="17:17" x14ac:dyDescent="0.3">
      <c r="Q52"/>
    </row>
    <row r="53" spans="17:17" x14ac:dyDescent="0.3">
      <c r="Q53"/>
    </row>
    <row r="54" spans="17:17" x14ac:dyDescent="0.3">
      <c r="Q54"/>
    </row>
    <row r="55" spans="17:17" x14ac:dyDescent="0.3">
      <c r="Q55"/>
    </row>
    <row r="56" spans="17:17" x14ac:dyDescent="0.3">
      <c r="Q56"/>
    </row>
    <row r="57" spans="17:17" x14ac:dyDescent="0.3">
      <c r="Q57"/>
    </row>
    <row r="58" spans="17:17" x14ac:dyDescent="0.3">
      <c r="Q58"/>
    </row>
    <row r="59" spans="17:17" x14ac:dyDescent="0.3">
      <c r="Q59"/>
    </row>
    <row r="60" spans="17:17" x14ac:dyDescent="0.3">
      <c r="Q60"/>
    </row>
    <row r="61" spans="17:17" x14ac:dyDescent="0.3">
      <c r="Q61"/>
    </row>
    <row r="62" spans="17:17" x14ac:dyDescent="0.3">
      <c r="Q62"/>
    </row>
    <row r="63" spans="17:17" x14ac:dyDescent="0.3">
      <c r="Q63"/>
    </row>
    <row r="64" spans="17:17" x14ac:dyDescent="0.3">
      <c r="Q64"/>
    </row>
    <row r="65" spans="17:17" x14ac:dyDescent="0.3">
      <c r="Q65"/>
    </row>
    <row r="66" spans="17:17" x14ac:dyDescent="0.3">
      <c r="Q66"/>
    </row>
    <row r="67" spans="17:17" x14ac:dyDescent="0.3">
      <c r="Q67"/>
    </row>
    <row r="68" spans="17:17" x14ac:dyDescent="0.3">
      <c r="Q68"/>
    </row>
    <row r="69" spans="17:17" x14ac:dyDescent="0.3">
      <c r="Q69"/>
    </row>
    <row r="70" spans="17:17" x14ac:dyDescent="0.3">
      <c r="Q70"/>
    </row>
    <row r="71" spans="17:17" x14ac:dyDescent="0.3">
      <c r="Q71"/>
    </row>
    <row r="72" spans="17:17" x14ac:dyDescent="0.3">
      <c r="Q72"/>
    </row>
    <row r="73" spans="17:17" x14ac:dyDescent="0.3">
      <c r="Q73"/>
    </row>
    <row r="74" spans="17:17" x14ac:dyDescent="0.3">
      <c r="Q74"/>
    </row>
    <row r="75" spans="17:17" x14ac:dyDescent="0.3">
      <c r="Q75"/>
    </row>
    <row r="76" spans="17:17" x14ac:dyDescent="0.3">
      <c r="Q76"/>
    </row>
    <row r="77" spans="17:17" x14ac:dyDescent="0.3">
      <c r="Q77"/>
    </row>
    <row r="78" spans="17:17" x14ac:dyDescent="0.3">
      <c r="Q78"/>
    </row>
    <row r="79" spans="17:17" x14ac:dyDescent="0.3">
      <c r="Q79"/>
    </row>
    <row r="80" spans="17:17" x14ac:dyDescent="0.3">
      <c r="Q80"/>
    </row>
    <row r="81" spans="17:17" x14ac:dyDescent="0.3">
      <c r="Q81"/>
    </row>
    <row r="82" spans="17:17" x14ac:dyDescent="0.3">
      <c r="Q82"/>
    </row>
    <row r="83" spans="17:17" x14ac:dyDescent="0.3">
      <c r="Q83"/>
    </row>
    <row r="84" spans="17:17" x14ac:dyDescent="0.3">
      <c r="Q84"/>
    </row>
    <row r="85" spans="17:17" x14ac:dyDescent="0.3">
      <c r="Q85"/>
    </row>
    <row r="86" spans="17:17" x14ac:dyDescent="0.3">
      <c r="Q86"/>
    </row>
    <row r="87" spans="17:17" x14ac:dyDescent="0.3">
      <c r="Q87"/>
    </row>
    <row r="88" spans="17:17" x14ac:dyDescent="0.3">
      <c r="Q88"/>
    </row>
    <row r="89" spans="17:17" x14ac:dyDescent="0.3">
      <c r="Q89"/>
    </row>
    <row r="90" spans="17:17" x14ac:dyDescent="0.3">
      <c r="Q90"/>
    </row>
    <row r="91" spans="17:17" x14ac:dyDescent="0.3">
      <c r="Q91"/>
    </row>
    <row r="92" spans="17:17" x14ac:dyDescent="0.3">
      <c r="Q92"/>
    </row>
    <row r="93" spans="17:17" x14ac:dyDescent="0.3">
      <c r="Q93"/>
    </row>
    <row r="94" spans="17:17" x14ac:dyDescent="0.3">
      <c r="Q94"/>
    </row>
    <row r="95" spans="17:17" x14ac:dyDescent="0.3">
      <c r="Q95"/>
    </row>
    <row r="96" spans="17:17" x14ac:dyDescent="0.3">
      <c r="Q96"/>
    </row>
    <row r="97" spans="17:17" x14ac:dyDescent="0.3">
      <c r="Q97"/>
    </row>
    <row r="98" spans="17:17" x14ac:dyDescent="0.3">
      <c r="Q98"/>
    </row>
    <row r="99" spans="17:17" x14ac:dyDescent="0.3">
      <c r="Q99"/>
    </row>
    <row r="100" spans="17:17" x14ac:dyDescent="0.3">
      <c r="Q100"/>
    </row>
    <row r="101" spans="17:17" x14ac:dyDescent="0.3">
      <c r="Q101"/>
    </row>
    <row r="102" spans="17:17" x14ac:dyDescent="0.3">
      <c r="Q102"/>
    </row>
    <row r="103" spans="17:17" x14ac:dyDescent="0.3">
      <c r="Q103"/>
    </row>
    <row r="104" spans="17:17" x14ac:dyDescent="0.3">
      <c r="Q104"/>
    </row>
    <row r="105" spans="17:17" x14ac:dyDescent="0.3">
      <c r="Q105"/>
    </row>
    <row r="106" spans="17:17" x14ac:dyDescent="0.3">
      <c r="Q106"/>
    </row>
    <row r="107" spans="17:17" x14ac:dyDescent="0.3">
      <c r="Q107"/>
    </row>
    <row r="108" spans="17:17" x14ac:dyDescent="0.3">
      <c r="Q108"/>
    </row>
    <row r="109" spans="17:17" x14ac:dyDescent="0.3">
      <c r="Q109"/>
    </row>
    <row r="110" spans="17:17" x14ac:dyDescent="0.3">
      <c r="Q110"/>
    </row>
    <row r="111" spans="17:17" x14ac:dyDescent="0.3">
      <c r="Q111"/>
    </row>
    <row r="112" spans="17:17" x14ac:dyDescent="0.3">
      <c r="Q112"/>
    </row>
    <row r="113" spans="17:17" x14ac:dyDescent="0.3">
      <c r="Q113"/>
    </row>
    <row r="114" spans="17:17" x14ac:dyDescent="0.3">
      <c r="Q114"/>
    </row>
    <row r="115" spans="17:17" x14ac:dyDescent="0.3">
      <c r="Q115"/>
    </row>
    <row r="116" spans="17:17" x14ac:dyDescent="0.3">
      <c r="Q116"/>
    </row>
    <row r="117" spans="17:17" x14ac:dyDescent="0.3">
      <c r="Q117"/>
    </row>
    <row r="118" spans="17:17" x14ac:dyDescent="0.3">
      <c r="Q118"/>
    </row>
    <row r="119" spans="17:17" x14ac:dyDescent="0.3">
      <c r="Q119"/>
    </row>
    <row r="120" spans="17:17" x14ac:dyDescent="0.3">
      <c r="Q120"/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28CF1-8DE5-411C-9EAC-D0B24CFD95D6}">
  <dimension ref="A1:AZ120"/>
  <sheetViews>
    <sheetView workbookViewId="0">
      <selection activeCell="E37" sqref="E37"/>
    </sheetView>
  </sheetViews>
  <sheetFormatPr defaultRowHeight="14.4" x14ac:dyDescent="0.3"/>
  <cols>
    <col min="2" max="2" width="40.77734375" customWidth="1"/>
    <col min="3" max="3" width="35.21875" customWidth="1"/>
    <col min="4" max="4" width="18.5546875" customWidth="1"/>
    <col min="5" max="5" width="18.5546875" style="1" customWidth="1"/>
    <col min="6" max="7" width="18.5546875" style="6" customWidth="1"/>
    <col min="8" max="10" width="18.5546875" style="3" customWidth="1"/>
    <col min="11" max="11" width="18.5546875" style="1" customWidth="1"/>
    <col min="12" max="12" width="18.5546875" style="6" customWidth="1"/>
    <col min="13" max="13" width="18.5546875" style="1" customWidth="1"/>
    <col min="14" max="16" width="18.5546875" style="3" customWidth="1"/>
    <col min="17" max="17" width="17.5546875" style="4" customWidth="1"/>
  </cols>
  <sheetData>
    <row r="1" spans="1:52" x14ac:dyDescent="0.3">
      <c r="Q1"/>
    </row>
    <row r="2" spans="1:52" x14ac:dyDescent="0.3">
      <c r="Q2"/>
    </row>
    <row r="3" spans="1:52" x14ac:dyDescent="0.3">
      <c r="Q3"/>
    </row>
    <row r="4" spans="1:52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13" t="s">
        <v>22</v>
      </c>
      <c r="I4" s="13" t="s">
        <v>43</v>
      </c>
      <c r="J4" s="13" t="s">
        <v>44</v>
      </c>
      <c r="K4" s="9" t="s">
        <v>46</v>
      </c>
      <c r="L4" s="11" t="s">
        <v>48</v>
      </c>
      <c r="M4" s="9" t="s">
        <v>49</v>
      </c>
      <c r="N4" s="13" t="s">
        <v>47</v>
      </c>
      <c r="O4" s="13" t="s">
        <v>51</v>
      </c>
      <c r="P4" s="13" t="s">
        <v>50</v>
      </c>
      <c r="Q4"/>
    </row>
    <row r="5" spans="1:52" x14ac:dyDescent="0.3">
      <c r="B5" s="8" t="s">
        <v>85</v>
      </c>
      <c r="C5" s="8" t="s">
        <v>87</v>
      </c>
      <c r="D5" s="8" t="s">
        <v>6</v>
      </c>
      <c r="E5" s="10">
        <v>51586</v>
      </c>
      <c r="F5" s="12" t="s">
        <v>14</v>
      </c>
      <c r="G5" s="12" t="s">
        <v>18</v>
      </c>
      <c r="H5" s="14"/>
      <c r="I5" s="14"/>
      <c r="J5" s="14" t="s">
        <v>45</v>
      </c>
      <c r="K5" s="10"/>
      <c r="L5" s="12"/>
      <c r="M5" s="10"/>
      <c r="N5" s="14"/>
      <c r="O5" s="14"/>
      <c r="P5" s="14" t="s">
        <v>52</v>
      </c>
      <c r="Q5"/>
    </row>
    <row r="6" spans="1:52" s="2" customFormat="1" x14ac:dyDescent="0.3">
      <c r="A6"/>
      <c r="B6" s="8" t="s">
        <v>17</v>
      </c>
      <c r="C6" s="8" t="s">
        <v>59</v>
      </c>
      <c r="D6" s="8" t="s">
        <v>6</v>
      </c>
      <c r="E6" s="10">
        <v>179530</v>
      </c>
      <c r="F6" s="12"/>
      <c r="G6" s="12"/>
      <c r="H6" s="14"/>
      <c r="I6" s="14"/>
      <c r="J6" s="14"/>
      <c r="K6" s="10"/>
      <c r="L6" s="12"/>
      <c r="M6" s="10"/>
      <c r="N6" s="14"/>
      <c r="O6" s="14"/>
      <c r="P6" s="14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</row>
    <row r="7" spans="1:52" s="2" customFormat="1" x14ac:dyDescent="0.3">
      <c r="A7"/>
      <c r="B7" t="s">
        <v>110</v>
      </c>
      <c r="C7" t="s">
        <v>23</v>
      </c>
      <c r="D7" t="s">
        <v>20</v>
      </c>
      <c r="E7" s="1">
        <v>2</v>
      </c>
      <c r="F7" s="6">
        <f>IF($E$5=0,0,E7/$E$5)</f>
        <v>3.8770208971426355E-5</v>
      </c>
      <c r="G7" s="6">
        <f>ROUNDDOWN(F7*$E$6,0)</f>
        <v>6</v>
      </c>
      <c r="H7" s="3">
        <v>0</v>
      </c>
      <c r="I7" s="3">
        <f>IF(E7=0,0,H7/E7)</f>
        <v>0</v>
      </c>
      <c r="J7" s="3">
        <f>I7*G7</f>
        <v>0</v>
      </c>
      <c r="K7" s="1">
        <v>0</v>
      </c>
      <c r="L7" s="6">
        <f>IF($E$5=0,0,K7/$E$5)</f>
        <v>0</v>
      </c>
      <c r="M7" s="1">
        <f>ROUNDDOWN(L7*$E$6,0)</f>
        <v>0</v>
      </c>
      <c r="N7" s="3">
        <v>0</v>
      </c>
      <c r="O7" s="3">
        <f>IF(K7=0,0,N7/K7)</f>
        <v>0</v>
      </c>
      <c r="P7" s="3">
        <f>M7*O7</f>
        <v>0</v>
      </c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</row>
    <row r="8" spans="1:52" s="2" customFormat="1" x14ac:dyDescent="0.3">
      <c r="A8"/>
      <c r="B8" t="s">
        <v>110</v>
      </c>
      <c r="C8" t="s">
        <v>21</v>
      </c>
      <c r="D8" t="s">
        <v>20</v>
      </c>
      <c r="E8" s="1">
        <v>0</v>
      </c>
      <c r="F8" s="6">
        <f>IF($E$5=0,0,E8/$E$5)</f>
        <v>0</v>
      </c>
      <c r="G8" s="6">
        <f>ROUNDDOWN(F8*$E$6,0)</f>
        <v>0</v>
      </c>
      <c r="H8" s="3">
        <v>0</v>
      </c>
      <c r="I8" s="3">
        <f>IF(E8=0,0,H8/E8)</f>
        <v>0</v>
      </c>
      <c r="J8" s="3">
        <f>I8*G8</f>
        <v>0</v>
      </c>
      <c r="K8" s="1">
        <v>0</v>
      </c>
      <c r="L8" s="6">
        <f>IF($E$5=0,0,K8/$E$5)</f>
        <v>0</v>
      </c>
      <c r="M8" s="1">
        <f>ROUNDDOWN(L8*$E$6,0)</f>
        <v>0</v>
      </c>
      <c r="N8" s="3">
        <v>0</v>
      </c>
      <c r="O8" s="3">
        <f>IF(K8=0,0,N8/K8)</f>
        <v>0</v>
      </c>
      <c r="P8" s="3">
        <f>M8*O8</f>
        <v>0</v>
      </c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</row>
    <row r="9" spans="1:52" s="2" customFormat="1" x14ac:dyDescent="0.3">
      <c r="A9"/>
      <c r="B9" t="s">
        <v>110</v>
      </c>
      <c r="C9" t="s">
        <v>24</v>
      </c>
      <c r="D9" t="s">
        <v>20</v>
      </c>
      <c r="E9" s="1">
        <v>0</v>
      </c>
      <c r="F9" s="6">
        <f>IF($E$5=0,0,E9/$E$5)</f>
        <v>0</v>
      </c>
      <c r="G9" s="6">
        <f>ROUNDDOWN(F9*$E$6,0)</f>
        <v>0</v>
      </c>
      <c r="H9" s="3">
        <v>0</v>
      </c>
      <c r="I9" s="3">
        <f>IF(E9=0,0,H9/E9)</f>
        <v>0</v>
      </c>
      <c r="J9" s="3">
        <f>I9*G9</f>
        <v>0</v>
      </c>
      <c r="K9" s="1">
        <v>0</v>
      </c>
      <c r="L9" s="6">
        <f>IF($E$5=0,0,K9/$E$5)</f>
        <v>0</v>
      </c>
      <c r="M9" s="1">
        <f>ROUNDDOWN(L9*$E$6,0)</f>
        <v>0</v>
      </c>
      <c r="N9" s="3">
        <v>0</v>
      </c>
      <c r="O9" s="3">
        <f>IF(K9=0,0,N9/K9)</f>
        <v>0</v>
      </c>
      <c r="P9" s="3">
        <f>M9*O9</f>
        <v>0</v>
      </c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</row>
    <row r="10" spans="1:52" s="2" customFormat="1" x14ac:dyDescent="0.3">
      <c r="A10"/>
      <c r="B10" t="s">
        <v>110</v>
      </c>
      <c r="C10" t="s">
        <v>25</v>
      </c>
      <c r="D10" t="s">
        <v>20</v>
      </c>
      <c r="E10" s="1">
        <v>0</v>
      </c>
      <c r="F10" s="6">
        <f>IF($E$5=0,0,E10/$E$5)</f>
        <v>0</v>
      </c>
      <c r="G10" s="6">
        <f>ROUNDDOWN(F10*$E$6,0)</f>
        <v>0</v>
      </c>
      <c r="H10" s="3">
        <v>0</v>
      </c>
      <c r="I10" s="3">
        <f>IF(E10=0,0,H10/E10)</f>
        <v>0</v>
      </c>
      <c r="J10" s="3">
        <f>I10*G10</f>
        <v>0</v>
      </c>
      <c r="K10" s="1">
        <v>0</v>
      </c>
      <c r="L10" s="6">
        <f>IF($E$5=0,0,K10/$E$5)</f>
        <v>0</v>
      </c>
      <c r="M10" s="1">
        <f>ROUNDDOWN(L10*$E$6,0)</f>
        <v>0</v>
      </c>
      <c r="N10" s="3">
        <v>0</v>
      </c>
      <c r="O10" s="3">
        <f>IF(K10=0,0,N10/K10)</f>
        <v>0</v>
      </c>
      <c r="P10" s="3">
        <f>M10*O10</f>
        <v>0</v>
      </c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</row>
    <row r="11" spans="1:52" s="2" customFormat="1" x14ac:dyDescent="0.3">
      <c r="A11"/>
      <c r="B11" t="s">
        <v>110</v>
      </c>
      <c r="C11" t="s">
        <v>82</v>
      </c>
      <c r="D11" t="s">
        <v>20</v>
      </c>
      <c r="E11" s="1">
        <v>0</v>
      </c>
      <c r="F11" s="6">
        <f>IF($E$5=0,0,E11/$E$5)</f>
        <v>0</v>
      </c>
      <c r="G11" s="6">
        <f>ROUNDDOWN(F11*$E$6,0)</f>
        <v>0</v>
      </c>
      <c r="H11" s="3">
        <v>0</v>
      </c>
      <c r="I11" s="3">
        <f>IF(E11=0,0,H11/E11)</f>
        <v>0</v>
      </c>
      <c r="J11" s="3">
        <f>I11*G11</f>
        <v>0</v>
      </c>
      <c r="K11" s="1">
        <v>0</v>
      </c>
      <c r="L11" s="6">
        <f>IF($E$5=0,0,K11/$E$5)</f>
        <v>0</v>
      </c>
      <c r="M11" s="1">
        <f>ROUNDDOWN(L11*$E$6,0)</f>
        <v>0</v>
      </c>
      <c r="N11" s="3">
        <v>0</v>
      </c>
      <c r="O11" s="3">
        <f>IF(K11=0,0,N11/K11)</f>
        <v>0</v>
      </c>
      <c r="P11" s="3">
        <f>M11*O11</f>
        <v>0</v>
      </c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</row>
    <row r="12" spans="1:52" s="2" customFormat="1" x14ac:dyDescent="0.3">
      <c r="A12"/>
      <c r="B12" t="s">
        <v>110</v>
      </c>
      <c r="C12" t="s">
        <v>3</v>
      </c>
      <c r="D12" t="s">
        <v>20</v>
      </c>
      <c r="E12" s="1">
        <v>0</v>
      </c>
      <c r="F12" s="6">
        <f>IF($E$5=0,0,E12/$E$5)</f>
        <v>0</v>
      </c>
      <c r="G12" s="6">
        <f>ROUNDDOWN(F12*$E$6,0)</f>
        <v>0</v>
      </c>
      <c r="H12" s="3">
        <v>0</v>
      </c>
      <c r="I12" s="3">
        <f>IF(E12=0,0,H12/E12)</f>
        <v>0</v>
      </c>
      <c r="J12" s="3">
        <f>I12*G12</f>
        <v>0</v>
      </c>
      <c r="K12" s="1">
        <v>0</v>
      </c>
      <c r="L12" s="6">
        <f>IF($E$5=0,0,K12/$E$5)</f>
        <v>0</v>
      </c>
      <c r="M12" s="1">
        <f>ROUNDDOWN(L12*$E$6,0)</f>
        <v>0</v>
      </c>
      <c r="N12" s="3">
        <v>0</v>
      </c>
      <c r="O12" s="3">
        <f>IF(K12=0,0,N12/K12)</f>
        <v>0</v>
      </c>
      <c r="P12" s="3">
        <f>M12*O12</f>
        <v>0</v>
      </c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</row>
    <row r="13" spans="1:52" s="2" customFormat="1" x14ac:dyDescent="0.3">
      <c r="A13"/>
      <c r="B13" t="s">
        <v>110</v>
      </c>
      <c r="C13" t="s">
        <v>4</v>
      </c>
      <c r="D13" t="s">
        <v>20</v>
      </c>
      <c r="E13" s="1">
        <v>0</v>
      </c>
      <c r="F13" s="6">
        <f>IF($E$5=0,0,E13/$E$5)</f>
        <v>0</v>
      </c>
      <c r="G13" s="6">
        <f>ROUNDDOWN(F13*$E$6,0)</f>
        <v>0</v>
      </c>
      <c r="H13" s="3">
        <v>0</v>
      </c>
      <c r="I13" s="3">
        <f>IF(E13=0,0,H13/E13)</f>
        <v>0</v>
      </c>
      <c r="J13" s="3">
        <f>I13*G13</f>
        <v>0</v>
      </c>
      <c r="K13" s="1">
        <v>0</v>
      </c>
      <c r="L13" s="6">
        <f>IF($E$5=0,0,K13/$E$5)</f>
        <v>0</v>
      </c>
      <c r="M13" s="1">
        <f>ROUNDDOWN(L13*$E$6,0)</f>
        <v>0</v>
      </c>
      <c r="N13" s="3">
        <v>0</v>
      </c>
      <c r="O13" s="3">
        <f>IF(K13=0,0,N13/K13)</f>
        <v>0</v>
      </c>
      <c r="P13" s="3">
        <f>M13*O13</f>
        <v>0</v>
      </c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</row>
    <row r="14" spans="1:52" s="2" customFormat="1" x14ac:dyDescent="0.3">
      <c r="A14"/>
      <c r="B14" t="s">
        <v>110</v>
      </c>
      <c r="C14" t="s">
        <v>27</v>
      </c>
      <c r="D14" t="s">
        <v>20</v>
      </c>
      <c r="E14" s="1">
        <v>0</v>
      </c>
      <c r="F14" s="6">
        <f>IF($E$5=0,0,E14/$E$5)</f>
        <v>0</v>
      </c>
      <c r="G14" s="6">
        <f>ROUNDDOWN(F14*$E$6,0)</f>
        <v>0</v>
      </c>
      <c r="H14" s="3">
        <v>0</v>
      </c>
      <c r="I14" s="3">
        <f>IF(E14=0,0,H14/E14)</f>
        <v>0</v>
      </c>
      <c r="J14" s="3">
        <f>I14*G14</f>
        <v>0</v>
      </c>
      <c r="K14" s="1">
        <v>0</v>
      </c>
      <c r="L14" s="6">
        <f>IF($E$5=0,0,K14/$E$5)</f>
        <v>0</v>
      </c>
      <c r="M14" s="1">
        <f>ROUNDDOWN(L14*$E$6,0)</f>
        <v>0</v>
      </c>
      <c r="N14" s="3">
        <v>0</v>
      </c>
      <c r="O14" s="3">
        <f>IF(K14=0,0,N14/K14)</f>
        <v>0</v>
      </c>
      <c r="P14" s="3">
        <f>M14*O14</f>
        <v>0</v>
      </c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</row>
    <row r="15" spans="1:52" s="2" customFormat="1" x14ac:dyDescent="0.3">
      <c r="A15"/>
      <c r="B15" t="s">
        <v>110</v>
      </c>
      <c r="C15" t="s">
        <v>7</v>
      </c>
      <c r="D15" t="s">
        <v>20</v>
      </c>
      <c r="E15" s="1">
        <v>1</v>
      </c>
      <c r="F15" s="6">
        <f>IF($E$5=0,0,E15/$E$5)</f>
        <v>1.9385104485713177E-5</v>
      </c>
      <c r="G15" s="6">
        <f>ROUNDDOWN(F15*$E$6,0)</f>
        <v>3</v>
      </c>
      <c r="H15" s="3">
        <v>0</v>
      </c>
      <c r="I15" s="3">
        <f>IF(E15=0,0,H15/E15)</f>
        <v>0</v>
      </c>
      <c r="J15" s="3">
        <f>I15*G15</f>
        <v>0</v>
      </c>
      <c r="K15" s="1">
        <v>0</v>
      </c>
      <c r="L15" s="6">
        <f>IF($E$5=0,0,K15/$E$5)</f>
        <v>0</v>
      </c>
      <c r="M15" s="1">
        <f>ROUNDDOWN(L15*$E$6,0)</f>
        <v>0</v>
      </c>
      <c r="N15" s="3">
        <v>0</v>
      </c>
      <c r="O15" s="3">
        <f>IF(K15=0,0,N15/K15)</f>
        <v>0</v>
      </c>
      <c r="P15" s="3">
        <f>M15*O15</f>
        <v>0</v>
      </c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</row>
    <row r="16" spans="1:52" s="2" customFormat="1" x14ac:dyDescent="0.3">
      <c r="A16"/>
      <c r="B16" t="s">
        <v>110</v>
      </c>
      <c r="C16" t="s">
        <v>28</v>
      </c>
      <c r="D16" t="s">
        <v>20</v>
      </c>
      <c r="E16" s="1">
        <v>0</v>
      </c>
      <c r="F16" s="6">
        <f>IF($E$5=0,0,E16/$E$5)</f>
        <v>0</v>
      </c>
      <c r="G16" s="6">
        <f>ROUNDDOWN(F16*$E$6,0)</f>
        <v>0</v>
      </c>
      <c r="H16" s="3">
        <v>0</v>
      </c>
      <c r="I16" s="3">
        <f>IF(E16=0,0,H16/E16)</f>
        <v>0</v>
      </c>
      <c r="J16" s="3">
        <f>I16*G16</f>
        <v>0</v>
      </c>
      <c r="K16" s="1">
        <v>0</v>
      </c>
      <c r="L16" s="6">
        <f>IF($E$5=0,0,K16/$E$5)</f>
        <v>0</v>
      </c>
      <c r="M16" s="1">
        <f>ROUNDDOWN(L16*$E$6,0)</f>
        <v>0</v>
      </c>
      <c r="N16" s="3">
        <v>0</v>
      </c>
      <c r="O16" s="3">
        <f>IF(K16=0,0,N16/K16)</f>
        <v>0</v>
      </c>
      <c r="P16" s="3">
        <f>M16*O16</f>
        <v>0</v>
      </c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</row>
    <row r="17" spans="1:52" s="2" customFormat="1" x14ac:dyDescent="0.3">
      <c r="A17"/>
      <c r="B17" t="s">
        <v>110</v>
      </c>
      <c r="C17" t="s">
        <v>29</v>
      </c>
      <c r="D17" t="s">
        <v>20</v>
      </c>
      <c r="E17" s="1">
        <v>0</v>
      </c>
      <c r="F17" s="6">
        <f>IF($E$5=0,0,E17/$E$5)</f>
        <v>0</v>
      </c>
      <c r="G17" s="6">
        <f>ROUNDDOWN(F17*$E$6,0)</f>
        <v>0</v>
      </c>
      <c r="H17" s="3">
        <v>0</v>
      </c>
      <c r="I17" s="3">
        <f>IF(E17=0,0,H17/E17)</f>
        <v>0</v>
      </c>
      <c r="J17" s="3">
        <f>I17*G17</f>
        <v>0</v>
      </c>
      <c r="K17" s="1">
        <v>0</v>
      </c>
      <c r="L17" s="6">
        <f>IF($E$5=0,0,K17/$E$5)</f>
        <v>0</v>
      </c>
      <c r="M17" s="1">
        <f>ROUNDDOWN(L17*$E$6,0)</f>
        <v>0</v>
      </c>
      <c r="N17" s="3">
        <v>0</v>
      </c>
      <c r="O17" s="3">
        <f>IF(K17=0,0,N17/K17)</f>
        <v>0</v>
      </c>
      <c r="P17" s="3">
        <f>M17*O17</f>
        <v>0</v>
      </c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</row>
    <row r="18" spans="1:52" s="2" customFormat="1" x14ac:dyDescent="0.3">
      <c r="A18"/>
      <c r="B18" t="s">
        <v>110</v>
      </c>
      <c r="C18" t="s">
        <v>30</v>
      </c>
      <c r="D18" t="s">
        <v>20</v>
      </c>
      <c r="E18" s="1">
        <v>0</v>
      </c>
      <c r="F18" s="6">
        <f>IF($E$5=0,0,E18/$E$5)</f>
        <v>0</v>
      </c>
      <c r="G18" s="6">
        <f>ROUNDDOWN(F18*$E$6,0)</f>
        <v>0</v>
      </c>
      <c r="H18" s="3">
        <v>0</v>
      </c>
      <c r="I18" s="3">
        <f>IF(E18=0,0,H18/E18)</f>
        <v>0</v>
      </c>
      <c r="J18" s="3">
        <f>I18*G18</f>
        <v>0</v>
      </c>
      <c r="K18" s="1">
        <v>0</v>
      </c>
      <c r="L18" s="6">
        <f>IF($E$5=0,0,K18/$E$5)</f>
        <v>0</v>
      </c>
      <c r="M18" s="1">
        <f>ROUNDDOWN(L18*$E$6,0)</f>
        <v>0</v>
      </c>
      <c r="N18" s="3">
        <v>0</v>
      </c>
      <c r="O18" s="3">
        <f>IF(K18=0,0,N18/K18)</f>
        <v>0</v>
      </c>
      <c r="P18" s="3">
        <f>M18*O18</f>
        <v>0</v>
      </c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</row>
    <row r="19" spans="1:52" s="2" customFormat="1" x14ac:dyDescent="0.3">
      <c r="A19"/>
      <c r="B19" t="s">
        <v>110</v>
      </c>
      <c r="C19" t="s">
        <v>31</v>
      </c>
      <c r="D19" t="s">
        <v>20</v>
      </c>
      <c r="E19" s="1">
        <v>0</v>
      </c>
      <c r="F19" s="6">
        <f>IF($E$5=0,0,E19/$E$5)</f>
        <v>0</v>
      </c>
      <c r="G19" s="6">
        <f>ROUNDDOWN(F19*$E$6,0)</f>
        <v>0</v>
      </c>
      <c r="H19" s="3">
        <v>0</v>
      </c>
      <c r="I19" s="3">
        <f>IF(E19=0,0,H19/E19)</f>
        <v>0</v>
      </c>
      <c r="J19" s="3">
        <f>I19*G19</f>
        <v>0</v>
      </c>
      <c r="K19" s="1">
        <v>0</v>
      </c>
      <c r="L19" s="6">
        <f>IF($E$5=0,0,K19/$E$5)</f>
        <v>0</v>
      </c>
      <c r="M19" s="1">
        <f>ROUNDDOWN(L19*$E$6,0)</f>
        <v>0</v>
      </c>
      <c r="N19" s="3">
        <v>0</v>
      </c>
      <c r="O19" s="3">
        <f>IF(K19=0,0,N19/K19)</f>
        <v>0</v>
      </c>
      <c r="P19" s="3">
        <f>M19*O19</f>
        <v>0</v>
      </c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</row>
    <row r="20" spans="1:52" s="2" customFormat="1" x14ac:dyDescent="0.3">
      <c r="A20"/>
      <c r="B20" t="s">
        <v>110</v>
      </c>
      <c r="C20" t="s">
        <v>32</v>
      </c>
      <c r="D20" t="s">
        <v>20</v>
      </c>
      <c r="E20" s="1">
        <v>1</v>
      </c>
      <c r="F20" s="6">
        <f>IF($E$5=0,0,E20/$E$5)</f>
        <v>1.9385104485713177E-5</v>
      </c>
      <c r="G20" s="6">
        <f>ROUNDDOWN(F20*$E$6,0)</f>
        <v>3</v>
      </c>
      <c r="H20" s="3">
        <v>0</v>
      </c>
      <c r="I20" s="3">
        <f>IF(E20=0,0,H20/E20)</f>
        <v>0</v>
      </c>
      <c r="J20" s="3">
        <f>I20*G20</f>
        <v>0</v>
      </c>
      <c r="K20" s="1">
        <v>0</v>
      </c>
      <c r="L20" s="6">
        <f>IF($E$5=0,0,K20/$E$5)</f>
        <v>0</v>
      </c>
      <c r="M20" s="1">
        <f>ROUNDDOWN(L20*$E$6,0)</f>
        <v>0</v>
      </c>
      <c r="N20" s="3">
        <v>0</v>
      </c>
      <c r="O20" s="3">
        <f>IF(K20=0,0,N20/K20)</f>
        <v>0</v>
      </c>
      <c r="P20" s="3">
        <f>M20*O20</f>
        <v>0</v>
      </c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</row>
    <row r="21" spans="1:52" s="2" customFormat="1" x14ac:dyDescent="0.3">
      <c r="A21"/>
      <c r="B21" t="s">
        <v>110</v>
      </c>
      <c r="C21" t="s">
        <v>33</v>
      </c>
      <c r="D21" t="s">
        <v>20</v>
      </c>
      <c r="E21" s="1">
        <v>0</v>
      </c>
      <c r="F21" s="6">
        <f>IF($E$5=0,0,E21/$E$5)</f>
        <v>0</v>
      </c>
      <c r="G21" s="6">
        <f>ROUNDDOWN(F21*$E$6,0)</f>
        <v>0</v>
      </c>
      <c r="H21" s="3">
        <v>0</v>
      </c>
      <c r="I21" s="3">
        <f>IF(E21=0,0,H21/E21)</f>
        <v>0</v>
      </c>
      <c r="J21" s="3">
        <f>I21*G21</f>
        <v>0</v>
      </c>
      <c r="K21" s="1">
        <v>0</v>
      </c>
      <c r="L21" s="6">
        <f>IF($E$5=0,0,K21/$E$5)</f>
        <v>0</v>
      </c>
      <c r="M21" s="1">
        <f>ROUNDDOWN(L21*$E$6,0)</f>
        <v>0</v>
      </c>
      <c r="N21" s="3">
        <v>0</v>
      </c>
      <c r="O21" s="3">
        <f>IF(K21=0,0,N21/K21)</f>
        <v>0</v>
      </c>
      <c r="P21" s="3">
        <f>M21*O21</f>
        <v>0</v>
      </c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</row>
    <row r="22" spans="1:52" s="2" customFormat="1" x14ac:dyDescent="0.3">
      <c r="A22"/>
      <c r="B22" t="s">
        <v>110</v>
      </c>
      <c r="C22" t="s">
        <v>8</v>
      </c>
      <c r="D22" t="s">
        <v>20</v>
      </c>
      <c r="E22" s="1">
        <v>0</v>
      </c>
      <c r="F22" s="6">
        <f>IF($E$5=0,0,E22/$E$5)</f>
        <v>0</v>
      </c>
      <c r="G22" s="6">
        <f>ROUNDDOWN(F22*$E$6,0)</f>
        <v>0</v>
      </c>
      <c r="H22" s="3">
        <v>0</v>
      </c>
      <c r="I22" s="3">
        <f>IF(E22=0,0,H22/E22)</f>
        <v>0</v>
      </c>
      <c r="J22" s="3">
        <f>I22*G22</f>
        <v>0</v>
      </c>
      <c r="K22" s="1">
        <v>0</v>
      </c>
      <c r="L22" s="6">
        <f>IF($E$5=0,0,K22/$E$5)</f>
        <v>0</v>
      </c>
      <c r="M22" s="1">
        <f>ROUNDDOWN(L22*$E$6,0)</f>
        <v>0</v>
      </c>
      <c r="N22" s="3">
        <v>0</v>
      </c>
      <c r="O22" s="3">
        <f>IF(K22=0,0,N22/K22)</f>
        <v>0</v>
      </c>
      <c r="P22" s="3">
        <f>M22*O22</f>
        <v>0</v>
      </c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</row>
    <row r="23" spans="1:52" s="2" customFormat="1" x14ac:dyDescent="0.3">
      <c r="A23"/>
      <c r="B23" t="s">
        <v>110</v>
      </c>
      <c r="C23" t="s">
        <v>34</v>
      </c>
      <c r="D23" t="s">
        <v>20</v>
      </c>
      <c r="E23" s="1">
        <v>0</v>
      </c>
      <c r="F23" s="6">
        <f>IF($E$5=0,0,E23/$E$5)</f>
        <v>0</v>
      </c>
      <c r="G23" s="6">
        <f>ROUNDDOWN(F23*$E$6,0)</f>
        <v>0</v>
      </c>
      <c r="H23" s="3">
        <v>0</v>
      </c>
      <c r="I23" s="3">
        <f>IF(E23=0,0,H23/E23)</f>
        <v>0</v>
      </c>
      <c r="J23" s="3">
        <f>I23*G23</f>
        <v>0</v>
      </c>
      <c r="K23" s="1">
        <v>0</v>
      </c>
      <c r="L23" s="6">
        <f>IF($E$5=0,0,K23/$E$5)</f>
        <v>0</v>
      </c>
      <c r="M23" s="1">
        <f>ROUNDDOWN(L23*$E$6,0)</f>
        <v>0</v>
      </c>
      <c r="N23" s="3">
        <v>0</v>
      </c>
      <c r="O23" s="3">
        <f>IF(K23=0,0,N23/K23)</f>
        <v>0</v>
      </c>
      <c r="P23" s="3">
        <f>M23*O23</f>
        <v>0</v>
      </c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</row>
    <row r="24" spans="1:52" s="2" customFormat="1" x14ac:dyDescent="0.3">
      <c r="A24"/>
      <c r="B24" t="s">
        <v>110</v>
      </c>
      <c r="C24" t="s">
        <v>35</v>
      </c>
      <c r="D24" t="s">
        <v>20</v>
      </c>
      <c r="E24" s="1">
        <v>0</v>
      </c>
      <c r="F24" s="6">
        <f>IF($E$5=0,0,E24/$E$5)</f>
        <v>0</v>
      </c>
      <c r="G24" s="6">
        <f>ROUNDDOWN(F24*$E$6,0)</f>
        <v>0</v>
      </c>
      <c r="H24" s="3">
        <v>0</v>
      </c>
      <c r="I24" s="3">
        <f>IF(E24=0,0,H24/E24)</f>
        <v>0</v>
      </c>
      <c r="J24" s="3">
        <f>I24*G24</f>
        <v>0</v>
      </c>
      <c r="K24" s="1">
        <v>0</v>
      </c>
      <c r="L24" s="6">
        <f>IF($E$5=0,0,K24/$E$5)</f>
        <v>0</v>
      </c>
      <c r="M24" s="1">
        <f>ROUNDDOWN(L24*$E$6,0)</f>
        <v>0</v>
      </c>
      <c r="N24" s="3">
        <v>0</v>
      </c>
      <c r="O24" s="3">
        <f>IF(K24=0,0,N24/K24)</f>
        <v>0</v>
      </c>
      <c r="P24" s="3">
        <f>M24*O24</f>
        <v>0</v>
      </c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</row>
    <row r="25" spans="1:52" s="2" customFormat="1" x14ac:dyDescent="0.3">
      <c r="A25"/>
      <c r="B25" t="s">
        <v>110</v>
      </c>
      <c r="C25" t="s">
        <v>36</v>
      </c>
      <c r="D25" t="s">
        <v>20</v>
      </c>
      <c r="E25" s="1">
        <v>5</v>
      </c>
      <c r="F25" s="6">
        <f>IF($E$5=0,0,E25/$E$5)</f>
        <v>9.6925522428565887E-5</v>
      </c>
      <c r="G25" s="6">
        <f>ROUNDDOWN(F25*$E$6,0)</f>
        <v>17</v>
      </c>
      <c r="H25" s="3">
        <v>0</v>
      </c>
      <c r="I25" s="3">
        <f>IF(E25=0,0,H25/E25)</f>
        <v>0</v>
      </c>
      <c r="J25" s="3">
        <f>I25*G25</f>
        <v>0</v>
      </c>
      <c r="K25" s="1">
        <v>0</v>
      </c>
      <c r="L25" s="6">
        <f>IF($E$5=0,0,K25/$E$5)</f>
        <v>0</v>
      </c>
      <c r="M25" s="1">
        <f>ROUNDDOWN(L25*$E$6,0)</f>
        <v>0</v>
      </c>
      <c r="N25" s="3">
        <v>0</v>
      </c>
      <c r="O25" s="3">
        <f>IF(K25=0,0,N25/K25)</f>
        <v>0</v>
      </c>
      <c r="P25" s="3">
        <f>M25*O25</f>
        <v>0</v>
      </c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</row>
    <row r="26" spans="1:52" s="2" customFormat="1" x14ac:dyDescent="0.3">
      <c r="A26"/>
      <c r="B26" t="s">
        <v>110</v>
      </c>
      <c r="C26" t="s">
        <v>37</v>
      </c>
      <c r="D26" t="s">
        <v>20</v>
      </c>
      <c r="E26" s="1">
        <v>2</v>
      </c>
      <c r="F26" s="6">
        <f>IF($E$5=0,0,E26/$E$5)</f>
        <v>3.8770208971426355E-5</v>
      </c>
      <c r="G26" s="6">
        <f>ROUNDDOWN(F26*$E$6,0)</f>
        <v>6</v>
      </c>
      <c r="H26" s="3">
        <v>2000</v>
      </c>
      <c r="I26" s="3">
        <f>IF(E26=0,0,H26/E26)</f>
        <v>1000</v>
      </c>
      <c r="J26" s="3">
        <f>I26*G26</f>
        <v>6000</v>
      </c>
      <c r="K26" s="1">
        <v>2</v>
      </c>
      <c r="L26" s="6">
        <f>IF($E$5=0,0,K26/$E$5)</f>
        <v>3.8770208971426355E-5</v>
      </c>
      <c r="M26" s="1">
        <f>ROUNDDOWN(L26*$E$6,0)</f>
        <v>6</v>
      </c>
      <c r="N26" s="3">
        <v>8370</v>
      </c>
      <c r="O26" s="3">
        <f>IF(K26=0,0,N26/K26)</f>
        <v>4185</v>
      </c>
      <c r="P26" s="3">
        <f>M26*O26</f>
        <v>25110</v>
      </c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</row>
    <row r="27" spans="1:52" s="2" customFormat="1" x14ac:dyDescent="0.3">
      <c r="A27"/>
      <c r="B27" t="s">
        <v>110</v>
      </c>
      <c r="C27" t="s">
        <v>38</v>
      </c>
      <c r="D27" t="s">
        <v>20</v>
      </c>
      <c r="E27" s="1">
        <v>1</v>
      </c>
      <c r="F27" s="6">
        <f>IF($E$5=0,0,E27/$E$5)</f>
        <v>1.9385104485713177E-5</v>
      </c>
      <c r="G27" s="6">
        <f>ROUNDDOWN(F27*$E$6,0)</f>
        <v>3</v>
      </c>
      <c r="H27" s="3">
        <v>0</v>
      </c>
      <c r="I27" s="3">
        <f>IF(E27=0,0,H27/E27)</f>
        <v>0</v>
      </c>
      <c r="J27" s="3">
        <f>I27*G27</f>
        <v>0</v>
      </c>
      <c r="K27" s="1">
        <v>0</v>
      </c>
      <c r="L27" s="6">
        <f>IF($E$5=0,0,K27/$E$5)</f>
        <v>0</v>
      </c>
      <c r="M27" s="1">
        <f>ROUNDDOWN(L27*$E$6,0)</f>
        <v>0</v>
      </c>
      <c r="N27" s="3">
        <v>0</v>
      </c>
      <c r="O27" s="3">
        <f>IF(K27=0,0,N27/K27)</f>
        <v>0</v>
      </c>
      <c r="P27" s="3">
        <f>M27*O27</f>
        <v>0</v>
      </c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</row>
    <row r="28" spans="1:52" s="2" customFormat="1" x14ac:dyDescent="0.3">
      <c r="A28"/>
      <c r="B28" t="s">
        <v>110</v>
      </c>
      <c r="C28" t="s">
        <v>39</v>
      </c>
      <c r="D28" t="s">
        <v>20</v>
      </c>
      <c r="E28" s="1">
        <v>0</v>
      </c>
      <c r="F28" s="6">
        <f>IF($E$5=0,0,E28/$E$5)</f>
        <v>0</v>
      </c>
      <c r="G28" s="6">
        <f>ROUNDDOWN(F28*$E$6,0)</f>
        <v>0</v>
      </c>
      <c r="H28" s="3">
        <v>0</v>
      </c>
      <c r="I28" s="3">
        <f>IF(E28=0,0,H28/E28)</f>
        <v>0</v>
      </c>
      <c r="J28" s="3">
        <f>I28*G28</f>
        <v>0</v>
      </c>
      <c r="K28" s="1">
        <v>0</v>
      </c>
      <c r="L28" s="6">
        <f>IF($E$5=0,0,K28/$E$5)</f>
        <v>0</v>
      </c>
      <c r="M28" s="1">
        <f>ROUNDDOWN(L28*$E$6,0)</f>
        <v>0</v>
      </c>
      <c r="N28" s="3">
        <v>0</v>
      </c>
      <c r="O28" s="3">
        <f>IF(K28=0,0,N28/K28)</f>
        <v>0</v>
      </c>
      <c r="P28" s="3">
        <f>M28*O28</f>
        <v>0</v>
      </c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</row>
    <row r="29" spans="1:52" s="2" customFormat="1" x14ac:dyDescent="0.3">
      <c r="A29"/>
      <c r="B29" t="s">
        <v>110</v>
      </c>
      <c r="C29" t="s">
        <v>9</v>
      </c>
      <c r="D29" t="s">
        <v>20</v>
      </c>
      <c r="E29" s="1">
        <v>1</v>
      </c>
      <c r="F29" s="6">
        <f>IF($E$5=0,0,E29/$E$5)</f>
        <v>1.9385104485713177E-5</v>
      </c>
      <c r="G29" s="6">
        <f>ROUNDDOWN(F29*$E$6,0)</f>
        <v>3</v>
      </c>
      <c r="H29" s="3">
        <v>0</v>
      </c>
      <c r="I29" s="3">
        <f>IF(E29=0,0,H29/E29)</f>
        <v>0</v>
      </c>
      <c r="J29" s="3">
        <f>I29*G29</f>
        <v>0</v>
      </c>
      <c r="K29" s="1">
        <v>1</v>
      </c>
      <c r="L29" s="6">
        <f>IF($E$5=0,0,K29/$E$5)</f>
        <v>1.9385104485713177E-5</v>
      </c>
      <c r="M29" s="1">
        <f>ROUNDDOWN(L29*$E$6,0)</f>
        <v>3</v>
      </c>
      <c r="N29" s="3">
        <v>0</v>
      </c>
      <c r="O29" s="3">
        <f>IF(K29=0,0,N29/K29)</f>
        <v>0</v>
      </c>
      <c r="P29" s="3">
        <f>M29*O29</f>
        <v>0</v>
      </c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</row>
    <row r="30" spans="1:52" s="2" customFormat="1" x14ac:dyDescent="0.3">
      <c r="A30"/>
      <c r="B30" t="s">
        <v>110</v>
      </c>
      <c r="C30" t="s">
        <v>10</v>
      </c>
      <c r="D30" t="s">
        <v>20</v>
      </c>
      <c r="E30" s="1">
        <v>1</v>
      </c>
      <c r="F30" s="6">
        <f>IF($E$5=0,0,E30/$E$5)</f>
        <v>1.9385104485713177E-5</v>
      </c>
      <c r="G30" s="6">
        <f>ROUNDDOWN(F30*$E$6,0)</f>
        <v>3</v>
      </c>
      <c r="H30" s="3">
        <v>0</v>
      </c>
      <c r="I30" s="3">
        <f>IF(E30=0,0,H30/E30)</f>
        <v>0</v>
      </c>
      <c r="J30" s="3">
        <f>I30*G30</f>
        <v>0</v>
      </c>
      <c r="K30" s="1">
        <v>0</v>
      </c>
      <c r="L30" s="6">
        <f>IF($E$5=0,0,K30/$E$5)</f>
        <v>0</v>
      </c>
      <c r="M30" s="1">
        <f>ROUNDDOWN(L30*$E$6,0)</f>
        <v>0</v>
      </c>
      <c r="N30" s="3">
        <v>0</v>
      </c>
      <c r="O30" s="3">
        <f>IF(K30=0,0,N30/K30)</f>
        <v>0</v>
      </c>
      <c r="P30" s="3">
        <f>M30*O30</f>
        <v>0</v>
      </c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</row>
    <row r="31" spans="1:52" s="2" customFormat="1" x14ac:dyDescent="0.3">
      <c r="A31"/>
      <c r="B31" t="s">
        <v>110</v>
      </c>
      <c r="C31" t="s">
        <v>11</v>
      </c>
      <c r="D31" t="s">
        <v>20</v>
      </c>
      <c r="E31" s="1">
        <v>0</v>
      </c>
      <c r="F31" s="6">
        <f>IF($E$5=0,0,E31/$E$5)</f>
        <v>0</v>
      </c>
      <c r="G31" s="6">
        <f>ROUNDDOWN(F31*$E$6,0)</f>
        <v>0</v>
      </c>
      <c r="H31" s="3">
        <v>0</v>
      </c>
      <c r="I31" s="3">
        <f>IF(E31=0,0,H31/E31)</f>
        <v>0</v>
      </c>
      <c r="J31" s="3">
        <f>I31*G31</f>
        <v>0</v>
      </c>
      <c r="K31" s="1">
        <v>0</v>
      </c>
      <c r="L31" s="6">
        <f>IF($E$5=0,0,K31/$E$5)</f>
        <v>0</v>
      </c>
      <c r="M31" s="1">
        <f>ROUNDDOWN(L31*$E$6,0)</f>
        <v>0</v>
      </c>
      <c r="N31" s="3">
        <v>0</v>
      </c>
      <c r="O31" s="3">
        <f>IF(K31=0,0,N31/K31)</f>
        <v>0</v>
      </c>
      <c r="P31" s="3">
        <f>M31*O31</f>
        <v>0</v>
      </c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</row>
    <row r="32" spans="1:52" s="2" customFormat="1" x14ac:dyDescent="0.3">
      <c r="A32"/>
      <c r="B32" t="s">
        <v>110</v>
      </c>
      <c r="C32" t="s">
        <v>40</v>
      </c>
      <c r="D32" t="s">
        <v>20</v>
      </c>
      <c r="E32" s="1">
        <v>1</v>
      </c>
      <c r="F32" s="6">
        <f>IF($E$5=0,0,E32/$E$5)</f>
        <v>1.9385104485713177E-5</v>
      </c>
      <c r="G32" s="6">
        <f>ROUNDDOWN(F32*$E$6,0)</f>
        <v>3</v>
      </c>
      <c r="H32" s="3">
        <v>0</v>
      </c>
      <c r="I32" s="3">
        <f>IF(E32=0,0,H32/E32)</f>
        <v>0</v>
      </c>
      <c r="J32" s="3">
        <f>I32*G32</f>
        <v>0</v>
      </c>
      <c r="K32" s="1">
        <v>0</v>
      </c>
      <c r="L32" s="6">
        <f>IF($E$5=0,0,K32/$E$5)</f>
        <v>0</v>
      </c>
      <c r="M32" s="1">
        <f>ROUNDDOWN(L32*$E$6,0)</f>
        <v>0</v>
      </c>
      <c r="N32" s="3">
        <v>0</v>
      </c>
      <c r="O32" s="3">
        <f>IF(K32=0,0,N32/K32)</f>
        <v>0</v>
      </c>
      <c r="P32" s="3">
        <f>M32*O32</f>
        <v>0</v>
      </c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</row>
    <row r="33" spans="1:52" s="2" customFormat="1" x14ac:dyDescent="0.3">
      <c r="A33"/>
      <c r="B33" t="s">
        <v>110</v>
      </c>
      <c r="C33" t="s">
        <v>41</v>
      </c>
      <c r="D33" t="s">
        <v>20</v>
      </c>
      <c r="E33" s="1">
        <v>0</v>
      </c>
      <c r="F33" s="6">
        <f>IF($E$5=0,0,E33/$E$5)</f>
        <v>0</v>
      </c>
      <c r="G33" s="6">
        <f>ROUNDDOWN(F33*$E$6,0)</f>
        <v>0</v>
      </c>
      <c r="H33" s="3">
        <v>0</v>
      </c>
      <c r="I33" s="3">
        <f>IF(E33=0,0,H33/E33)</f>
        <v>0</v>
      </c>
      <c r="J33" s="3">
        <f>I33*G33</f>
        <v>0</v>
      </c>
      <c r="K33" s="1">
        <v>0</v>
      </c>
      <c r="L33" s="6">
        <f>IF($E$5=0,0,K33/$E$5)</f>
        <v>0</v>
      </c>
      <c r="M33" s="1">
        <f>ROUNDDOWN(L33*$E$6,0)</f>
        <v>0</v>
      </c>
      <c r="N33" s="3">
        <v>0</v>
      </c>
      <c r="O33" s="3">
        <f>IF(K33=0,0,N33/K33)</f>
        <v>0</v>
      </c>
      <c r="P33" s="3">
        <f>M33*O33</f>
        <v>0</v>
      </c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</row>
    <row r="34" spans="1:52" s="2" customFormat="1" x14ac:dyDescent="0.3">
      <c r="A34"/>
      <c r="B34" t="s">
        <v>110</v>
      </c>
      <c r="C34" t="s">
        <v>12</v>
      </c>
      <c r="D34" t="s">
        <v>20</v>
      </c>
      <c r="E34" s="1">
        <v>0</v>
      </c>
      <c r="F34" s="6">
        <f>IF($E$5=0,0,E34/$E$5)</f>
        <v>0</v>
      </c>
      <c r="G34" s="6">
        <f>ROUNDDOWN(F34*$E$6,0)</f>
        <v>0</v>
      </c>
      <c r="H34" s="3">
        <v>0</v>
      </c>
      <c r="I34" s="3">
        <f>IF(E34=0,0,H34/E34)</f>
        <v>0</v>
      </c>
      <c r="J34" s="3">
        <f>I34*G34</f>
        <v>0</v>
      </c>
      <c r="K34" s="1">
        <v>0</v>
      </c>
      <c r="L34" s="6">
        <f>IF($E$5=0,0,K34/$E$5)</f>
        <v>0</v>
      </c>
      <c r="M34" s="1">
        <f>ROUNDDOWN(L34*$E$6,0)</f>
        <v>0</v>
      </c>
      <c r="N34" s="3">
        <v>0</v>
      </c>
      <c r="O34" s="3">
        <f>IF(K34=0,0,N34/K34)</f>
        <v>0</v>
      </c>
      <c r="P34" s="3">
        <f>M34*O34</f>
        <v>0</v>
      </c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</row>
    <row r="35" spans="1:52" s="2" customFormat="1" x14ac:dyDescent="0.3">
      <c r="A35"/>
      <c r="B35" t="s">
        <v>110</v>
      </c>
      <c r="C35" t="s">
        <v>42</v>
      </c>
      <c r="D35" t="s">
        <v>20</v>
      </c>
      <c r="E35" s="1">
        <v>0</v>
      </c>
      <c r="F35" s="6">
        <f>IF($E$5=0,0,E35/$E$5)</f>
        <v>0</v>
      </c>
      <c r="G35" s="6">
        <f>ROUNDDOWN(F35*$E$6,0)</f>
        <v>0</v>
      </c>
      <c r="H35" s="3">
        <v>0</v>
      </c>
      <c r="I35" s="3">
        <f>IF(E35=0,0,H35/E35)</f>
        <v>0</v>
      </c>
      <c r="J35" s="3">
        <f>I35*G35</f>
        <v>0</v>
      </c>
      <c r="K35" s="1">
        <v>0</v>
      </c>
      <c r="L35" s="6">
        <f>IF($E$5=0,0,K35/$E$5)</f>
        <v>0</v>
      </c>
      <c r="M35" s="1">
        <f>ROUNDDOWN(L35*$E$6,0)</f>
        <v>0</v>
      </c>
      <c r="N35" s="3">
        <v>0</v>
      </c>
      <c r="O35" s="3">
        <f>IF(K35=0,0,N35/K35)</f>
        <v>0</v>
      </c>
      <c r="P35" s="3">
        <f>M35*O35</f>
        <v>0</v>
      </c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</row>
    <row r="36" spans="1:52" s="2" customFormat="1" x14ac:dyDescent="0.3">
      <c r="A36"/>
      <c r="B36" t="s">
        <v>110</v>
      </c>
      <c r="C36" t="s">
        <v>13</v>
      </c>
      <c r="D36" t="s">
        <v>20</v>
      </c>
      <c r="E36" s="1">
        <v>3</v>
      </c>
      <c r="F36" s="6">
        <f>IF($E$5=0,0,E36/$E$5)</f>
        <v>5.8155313457139532E-5</v>
      </c>
      <c r="G36" s="6">
        <f>ROUNDDOWN(F36*$E$6,0)</f>
        <v>10</v>
      </c>
      <c r="H36" s="3">
        <v>0</v>
      </c>
      <c r="I36" s="3">
        <f>IF(E36=0,0,H36/E36)</f>
        <v>0</v>
      </c>
      <c r="J36" s="3">
        <f>I36*G36</f>
        <v>0</v>
      </c>
      <c r="K36" s="1">
        <v>2</v>
      </c>
      <c r="L36" s="6">
        <f>IF($E$5=0,0,K36/$E$5)</f>
        <v>3.8770208971426355E-5</v>
      </c>
      <c r="M36" s="1">
        <f>ROUNDDOWN(L36*$E$6,0)</f>
        <v>6</v>
      </c>
      <c r="N36" s="3">
        <v>0</v>
      </c>
      <c r="O36" s="3">
        <f>IF(K36=0,0,N36/K36)</f>
        <v>0</v>
      </c>
      <c r="P36" s="3">
        <f>M36*O36</f>
        <v>0</v>
      </c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</row>
    <row r="37" spans="1:52" x14ac:dyDescent="0.3">
      <c r="Q37"/>
    </row>
    <row r="38" spans="1:52" x14ac:dyDescent="0.3">
      <c r="E38" s="1">
        <f>SUM(E7:E36)</f>
        <v>18</v>
      </c>
      <c r="G38" s="6">
        <f>SUM(G7:G36)</f>
        <v>57</v>
      </c>
      <c r="H38" s="3">
        <f>SUM(H7:H36)</f>
        <v>2000</v>
      </c>
      <c r="I38" s="3">
        <f>IF(E38=0,0,H38/E38)</f>
        <v>111.11111111111111</v>
      </c>
      <c r="J38" s="3">
        <f>G38*I38</f>
        <v>6333.3333333333339</v>
      </c>
      <c r="K38" s="1">
        <f>SUM(K7:K36)</f>
        <v>5</v>
      </c>
      <c r="M38" s="1">
        <f>SUM(M7:M36)</f>
        <v>15</v>
      </c>
      <c r="N38" s="3">
        <f>SUM(N7:N36)</f>
        <v>8370</v>
      </c>
      <c r="O38" s="3">
        <f>IF(K38=0,0,N38/K38)</f>
        <v>1674</v>
      </c>
      <c r="P38" s="3">
        <f>M38*O38</f>
        <v>25110</v>
      </c>
      <c r="Q38"/>
    </row>
    <row r="39" spans="1:52" x14ac:dyDescent="0.3">
      <c r="Q39"/>
    </row>
    <row r="40" spans="1:52" x14ac:dyDescent="0.3">
      <c r="Q40"/>
    </row>
    <row r="41" spans="1:52" x14ac:dyDescent="0.3">
      <c r="Q41"/>
    </row>
    <row r="42" spans="1:52" x14ac:dyDescent="0.3">
      <c r="Q42"/>
    </row>
    <row r="43" spans="1:52" x14ac:dyDescent="0.3">
      <c r="Q43"/>
    </row>
    <row r="44" spans="1:52" x14ac:dyDescent="0.3">
      <c r="Q44"/>
    </row>
    <row r="45" spans="1:52" x14ac:dyDescent="0.3">
      <c r="Q45"/>
    </row>
    <row r="46" spans="1:52" x14ac:dyDescent="0.3">
      <c r="Q46"/>
    </row>
    <row r="47" spans="1:52" x14ac:dyDescent="0.3">
      <c r="Q47"/>
    </row>
    <row r="48" spans="1:52" x14ac:dyDescent="0.3">
      <c r="Q48"/>
    </row>
    <row r="49" spans="17:17" x14ac:dyDescent="0.3">
      <c r="Q49"/>
    </row>
    <row r="50" spans="17:17" x14ac:dyDescent="0.3">
      <c r="Q50"/>
    </row>
    <row r="51" spans="17:17" x14ac:dyDescent="0.3">
      <c r="Q51"/>
    </row>
    <row r="52" spans="17:17" x14ac:dyDescent="0.3">
      <c r="Q52"/>
    </row>
    <row r="53" spans="17:17" x14ac:dyDescent="0.3">
      <c r="Q53"/>
    </row>
    <row r="54" spans="17:17" x14ac:dyDescent="0.3">
      <c r="Q54"/>
    </row>
    <row r="55" spans="17:17" x14ac:dyDescent="0.3">
      <c r="Q55"/>
    </row>
    <row r="56" spans="17:17" x14ac:dyDescent="0.3">
      <c r="Q56"/>
    </row>
    <row r="57" spans="17:17" x14ac:dyDescent="0.3">
      <c r="Q57"/>
    </row>
    <row r="58" spans="17:17" x14ac:dyDescent="0.3">
      <c r="Q58"/>
    </row>
    <row r="59" spans="17:17" x14ac:dyDescent="0.3">
      <c r="Q59"/>
    </row>
    <row r="60" spans="17:17" x14ac:dyDescent="0.3">
      <c r="Q60"/>
    </row>
    <row r="61" spans="17:17" x14ac:dyDescent="0.3">
      <c r="Q61"/>
    </row>
    <row r="62" spans="17:17" x14ac:dyDescent="0.3">
      <c r="Q62"/>
    </row>
    <row r="63" spans="17:17" x14ac:dyDescent="0.3">
      <c r="Q63"/>
    </row>
    <row r="64" spans="17:17" x14ac:dyDescent="0.3">
      <c r="Q64"/>
    </row>
    <row r="65" spans="17:17" x14ac:dyDescent="0.3">
      <c r="Q65"/>
    </row>
    <row r="66" spans="17:17" x14ac:dyDescent="0.3">
      <c r="Q66"/>
    </row>
    <row r="67" spans="17:17" x14ac:dyDescent="0.3">
      <c r="Q67"/>
    </row>
    <row r="68" spans="17:17" x14ac:dyDescent="0.3">
      <c r="Q68"/>
    </row>
    <row r="69" spans="17:17" x14ac:dyDescent="0.3">
      <c r="Q69"/>
    </row>
    <row r="70" spans="17:17" x14ac:dyDescent="0.3">
      <c r="Q70"/>
    </row>
    <row r="71" spans="17:17" x14ac:dyDescent="0.3">
      <c r="Q71"/>
    </row>
    <row r="72" spans="17:17" x14ac:dyDescent="0.3">
      <c r="Q72"/>
    </row>
    <row r="73" spans="17:17" x14ac:dyDescent="0.3">
      <c r="Q73"/>
    </row>
    <row r="74" spans="17:17" x14ac:dyDescent="0.3">
      <c r="Q74"/>
    </row>
    <row r="75" spans="17:17" x14ac:dyDescent="0.3">
      <c r="Q75"/>
    </row>
    <row r="76" spans="17:17" x14ac:dyDescent="0.3">
      <c r="Q76"/>
    </row>
    <row r="77" spans="17:17" x14ac:dyDescent="0.3">
      <c r="Q77"/>
    </row>
    <row r="78" spans="17:17" x14ac:dyDescent="0.3">
      <c r="Q78"/>
    </row>
    <row r="79" spans="17:17" x14ac:dyDescent="0.3">
      <c r="Q79"/>
    </row>
    <row r="80" spans="17:17" x14ac:dyDescent="0.3">
      <c r="Q80"/>
    </row>
    <row r="81" spans="17:17" x14ac:dyDescent="0.3">
      <c r="Q81"/>
    </row>
    <row r="82" spans="17:17" x14ac:dyDescent="0.3">
      <c r="Q82"/>
    </row>
    <row r="83" spans="17:17" x14ac:dyDescent="0.3">
      <c r="Q83"/>
    </row>
    <row r="84" spans="17:17" x14ac:dyDescent="0.3">
      <c r="Q84"/>
    </row>
    <row r="85" spans="17:17" x14ac:dyDescent="0.3">
      <c r="Q85"/>
    </row>
    <row r="86" spans="17:17" x14ac:dyDescent="0.3">
      <c r="Q86"/>
    </row>
    <row r="87" spans="17:17" x14ac:dyDescent="0.3">
      <c r="Q87"/>
    </row>
    <row r="88" spans="17:17" x14ac:dyDescent="0.3">
      <c r="Q88"/>
    </row>
    <row r="89" spans="17:17" x14ac:dyDescent="0.3">
      <c r="Q89"/>
    </row>
    <row r="90" spans="17:17" x14ac:dyDescent="0.3">
      <c r="Q90"/>
    </row>
    <row r="91" spans="17:17" x14ac:dyDescent="0.3">
      <c r="Q91"/>
    </row>
    <row r="92" spans="17:17" x14ac:dyDescent="0.3">
      <c r="Q92"/>
    </row>
    <row r="93" spans="17:17" x14ac:dyDescent="0.3">
      <c r="Q93"/>
    </row>
    <row r="94" spans="17:17" x14ac:dyDescent="0.3">
      <c r="Q94"/>
    </row>
    <row r="95" spans="17:17" x14ac:dyDescent="0.3">
      <c r="Q95"/>
    </row>
    <row r="96" spans="17:17" x14ac:dyDescent="0.3">
      <c r="Q96"/>
    </row>
    <row r="97" spans="17:17" x14ac:dyDescent="0.3">
      <c r="Q97"/>
    </row>
    <row r="98" spans="17:17" x14ac:dyDescent="0.3">
      <c r="Q98"/>
    </row>
    <row r="99" spans="17:17" x14ac:dyDescent="0.3">
      <c r="Q99"/>
    </row>
    <row r="100" spans="17:17" x14ac:dyDescent="0.3">
      <c r="Q100"/>
    </row>
    <row r="101" spans="17:17" x14ac:dyDescent="0.3">
      <c r="Q101"/>
    </row>
    <row r="102" spans="17:17" x14ac:dyDescent="0.3">
      <c r="Q102"/>
    </row>
    <row r="103" spans="17:17" x14ac:dyDescent="0.3">
      <c r="Q103"/>
    </row>
    <row r="104" spans="17:17" x14ac:dyDescent="0.3">
      <c r="Q104"/>
    </row>
    <row r="105" spans="17:17" x14ac:dyDescent="0.3">
      <c r="Q105"/>
    </row>
    <row r="106" spans="17:17" x14ac:dyDescent="0.3">
      <c r="Q106"/>
    </row>
    <row r="107" spans="17:17" x14ac:dyDescent="0.3">
      <c r="Q107"/>
    </row>
    <row r="108" spans="17:17" x14ac:dyDescent="0.3">
      <c r="Q108"/>
    </row>
    <row r="109" spans="17:17" x14ac:dyDescent="0.3">
      <c r="Q109"/>
    </row>
    <row r="110" spans="17:17" x14ac:dyDescent="0.3">
      <c r="Q110"/>
    </row>
    <row r="111" spans="17:17" x14ac:dyDescent="0.3">
      <c r="Q111"/>
    </row>
    <row r="112" spans="17:17" x14ac:dyDescent="0.3">
      <c r="Q112"/>
    </row>
    <row r="113" spans="17:17" x14ac:dyDescent="0.3">
      <c r="Q113"/>
    </row>
    <row r="114" spans="17:17" x14ac:dyDescent="0.3">
      <c r="Q114"/>
    </row>
    <row r="115" spans="17:17" x14ac:dyDescent="0.3">
      <c r="Q115"/>
    </row>
    <row r="116" spans="17:17" x14ac:dyDescent="0.3">
      <c r="Q116"/>
    </row>
    <row r="117" spans="17:17" x14ac:dyDescent="0.3">
      <c r="Q117"/>
    </row>
    <row r="118" spans="17:17" x14ac:dyDescent="0.3">
      <c r="Q118"/>
    </row>
    <row r="119" spans="17:17" x14ac:dyDescent="0.3">
      <c r="Q119"/>
    </row>
    <row r="120" spans="17:17" x14ac:dyDescent="0.3">
      <c r="Q120"/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9FFF0-5AD9-40C7-9DBA-8EC0E1531713}">
  <dimension ref="A1:AZ120"/>
  <sheetViews>
    <sheetView topLeftCell="A4" workbookViewId="0">
      <selection activeCell="E37" sqref="E37"/>
    </sheetView>
  </sheetViews>
  <sheetFormatPr defaultRowHeight="14.4" x14ac:dyDescent="0.3"/>
  <cols>
    <col min="2" max="2" width="40.77734375" customWidth="1"/>
    <col min="3" max="3" width="35.21875" customWidth="1"/>
    <col min="4" max="4" width="18.5546875" customWidth="1"/>
    <col min="5" max="5" width="18.5546875" style="1" customWidth="1"/>
    <col min="6" max="7" width="18.5546875" style="6" customWidth="1"/>
    <col min="8" max="10" width="18.5546875" style="3" customWidth="1"/>
    <col min="11" max="11" width="18.5546875" style="1" customWidth="1"/>
    <col min="12" max="12" width="18.5546875" style="6" customWidth="1"/>
    <col min="13" max="13" width="18.5546875" style="1" customWidth="1"/>
    <col min="14" max="16" width="18.5546875" style="3" customWidth="1"/>
    <col min="17" max="17" width="17.5546875" style="4" customWidth="1"/>
  </cols>
  <sheetData>
    <row r="1" spans="1:52" x14ac:dyDescent="0.3">
      <c r="Q1"/>
    </row>
    <row r="2" spans="1:52" x14ac:dyDescent="0.3">
      <c r="Q2"/>
    </row>
    <row r="3" spans="1:52" x14ac:dyDescent="0.3">
      <c r="Q3"/>
    </row>
    <row r="4" spans="1:52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13" t="s">
        <v>22</v>
      </c>
      <c r="I4" s="13" t="s">
        <v>43</v>
      </c>
      <c r="J4" s="13" t="s">
        <v>44</v>
      </c>
      <c r="K4" s="9" t="s">
        <v>46</v>
      </c>
      <c r="L4" s="11" t="s">
        <v>48</v>
      </c>
      <c r="M4" s="9" t="s">
        <v>49</v>
      </c>
      <c r="N4" s="13" t="s">
        <v>47</v>
      </c>
      <c r="O4" s="13" t="s">
        <v>51</v>
      </c>
      <c r="P4" s="13" t="s">
        <v>50</v>
      </c>
      <c r="Q4"/>
    </row>
    <row r="5" spans="1:52" x14ac:dyDescent="0.3">
      <c r="B5" s="8" t="s">
        <v>85</v>
      </c>
      <c r="C5" s="8" t="s">
        <v>88</v>
      </c>
      <c r="D5" s="8" t="s">
        <v>6</v>
      </c>
      <c r="E5" s="10">
        <v>50908</v>
      </c>
      <c r="F5" s="12" t="s">
        <v>14</v>
      </c>
      <c r="G5" s="12" t="s">
        <v>18</v>
      </c>
      <c r="H5" s="14"/>
      <c r="I5" s="14"/>
      <c r="J5" s="14" t="s">
        <v>45</v>
      </c>
      <c r="K5" s="10"/>
      <c r="L5" s="12"/>
      <c r="M5" s="10"/>
      <c r="N5" s="14"/>
      <c r="O5" s="14"/>
      <c r="P5" s="14" t="s">
        <v>52</v>
      </c>
      <c r="Q5"/>
    </row>
    <row r="6" spans="1:52" s="2" customFormat="1" x14ac:dyDescent="0.3">
      <c r="A6"/>
      <c r="B6" s="8" t="s">
        <v>17</v>
      </c>
      <c r="C6" s="8" t="s">
        <v>60</v>
      </c>
      <c r="D6" s="8" t="s">
        <v>6</v>
      </c>
      <c r="E6" s="10">
        <v>181918</v>
      </c>
      <c r="F6" s="12"/>
      <c r="G6" s="12"/>
      <c r="H6" s="14"/>
      <c r="I6" s="14"/>
      <c r="J6" s="14"/>
      <c r="K6" s="10"/>
      <c r="L6" s="12"/>
      <c r="M6" s="10"/>
      <c r="N6" s="14"/>
      <c r="O6" s="14"/>
      <c r="P6" s="14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</row>
    <row r="7" spans="1:52" s="2" customFormat="1" x14ac:dyDescent="0.3">
      <c r="A7"/>
      <c r="B7" t="s">
        <v>111</v>
      </c>
      <c r="C7" t="s">
        <v>23</v>
      </c>
      <c r="D7" t="s">
        <v>20</v>
      </c>
      <c r="E7" s="1">
        <v>3</v>
      </c>
      <c r="F7" s="6">
        <f>IF($E$5=0,0,E7/$E$5)</f>
        <v>5.8929834210733089E-5</v>
      </c>
      <c r="G7" s="6">
        <f>ROUNDDOWN(F7*$E$6,0)</f>
        <v>10</v>
      </c>
      <c r="H7" s="3">
        <v>17137</v>
      </c>
      <c r="I7" s="3">
        <f>IF(E7=0,0,H7/E7)</f>
        <v>5712.333333333333</v>
      </c>
      <c r="J7" s="3">
        <f>I7*G7</f>
        <v>57123.333333333328</v>
      </c>
      <c r="K7" s="1">
        <v>1</v>
      </c>
      <c r="L7" s="6">
        <f>IF($E$5=0,0,K7/$E$5)</f>
        <v>1.9643278070244363E-5</v>
      </c>
      <c r="M7" s="1">
        <f>ROUNDDOWN(L7*$E$6,0)</f>
        <v>3</v>
      </c>
      <c r="N7" s="3">
        <v>0</v>
      </c>
      <c r="O7" s="3">
        <f>IF(K7=0,0,N7/K7)</f>
        <v>0</v>
      </c>
      <c r="P7" s="3">
        <f>M7*O7</f>
        <v>0</v>
      </c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</row>
    <row r="8" spans="1:52" s="2" customFormat="1" x14ac:dyDescent="0.3">
      <c r="A8"/>
      <c r="B8" t="s">
        <v>111</v>
      </c>
      <c r="C8" t="s">
        <v>21</v>
      </c>
      <c r="D8" t="s">
        <v>20</v>
      </c>
      <c r="E8" s="1">
        <v>0</v>
      </c>
      <c r="F8" s="6">
        <f>IF($E$5=0,0,E8/$E$5)</f>
        <v>0</v>
      </c>
      <c r="G8" s="6">
        <f>ROUNDDOWN(F8*$E$6,0)</f>
        <v>0</v>
      </c>
      <c r="H8" s="3">
        <v>0</v>
      </c>
      <c r="I8" s="3">
        <f>IF(E8=0,0,H8/E8)</f>
        <v>0</v>
      </c>
      <c r="J8" s="3">
        <f>I8*G8</f>
        <v>0</v>
      </c>
      <c r="K8" s="1">
        <v>0</v>
      </c>
      <c r="L8" s="6">
        <f>IF($E$5=0,0,K8/$E$5)</f>
        <v>0</v>
      </c>
      <c r="M8" s="1">
        <f>ROUNDDOWN(L8*$E$6,0)</f>
        <v>0</v>
      </c>
      <c r="N8" s="3">
        <v>0</v>
      </c>
      <c r="O8" s="3">
        <f>IF(K8=0,0,N8/K8)</f>
        <v>0</v>
      </c>
      <c r="P8" s="3">
        <f>M8*O8</f>
        <v>0</v>
      </c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</row>
    <row r="9" spans="1:52" s="2" customFormat="1" x14ac:dyDescent="0.3">
      <c r="A9"/>
      <c r="B9" t="s">
        <v>111</v>
      </c>
      <c r="C9" t="s">
        <v>24</v>
      </c>
      <c r="D9" t="s">
        <v>20</v>
      </c>
      <c r="E9" s="1">
        <v>0</v>
      </c>
      <c r="F9" s="6">
        <f>IF($E$5=0,0,E9/$E$5)</f>
        <v>0</v>
      </c>
      <c r="G9" s="6">
        <f>ROUNDDOWN(F9*$E$6,0)</f>
        <v>0</v>
      </c>
      <c r="H9" s="3">
        <v>0</v>
      </c>
      <c r="I9" s="3">
        <f>IF(E9=0,0,H9/E9)</f>
        <v>0</v>
      </c>
      <c r="J9" s="3">
        <f>I9*G9</f>
        <v>0</v>
      </c>
      <c r="K9" s="1">
        <v>0</v>
      </c>
      <c r="L9" s="6">
        <f>IF($E$5=0,0,K9/$E$5)</f>
        <v>0</v>
      </c>
      <c r="M9" s="1">
        <f>ROUNDDOWN(L9*$E$6,0)</f>
        <v>0</v>
      </c>
      <c r="N9" s="3">
        <v>0</v>
      </c>
      <c r="O9" s="3">
        <f>IF(K9=0,0,N9/K9)</f>
        <v>0</v>
      </c>
      <c r="P9" s="3">
        <f>M9*O9</f>
        <v>0</v>
      </c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</row>
    <row r="10" spans="1:52" s="2" customFormat="1" x14ac:dyDescent="0.3">
      <c r="A10"/>
      <c r="B10" t="s">
        <v>111</v>
      </c>
      <c r="C10" t="s">
        <v>25</v>
      </c>
      <c r="D10" t="s">
        <v>20</v>
      </c>
      <c r="E10" s="1">
        <v>0</v>
      </c>
      <c r="F10" s="6">
        <f>IF($E$5=0,0,E10/$E$5)</f>
        <v>0</v>
      </c>
      <c r="G10" s="6">
        <f>ROUNDDOWN(F10*$E$6,0)</f>
        <v>0</v>
      </c>
      <c r="H10" s="3">
        <v>0</v>
      </c>
      <c r="I10" s="3">
        <f>IF(E10=0,0,H10/E10)</f>
        <v>0</v>
      </c>
      <c r="J10" s="3">
        <f>I10*G10</f>
        <v>0</v>
      </c>
      <c r="K10" s="1">
        <v>0</v>
      </c>
      <c r="L10" s="6">
        <f>IF($E$5=0,0,K10/$E$5)</f>
        <v>0</v>
      </c>
      <c r="M10" s="1">
        <f>ROUNDDOWN(L10*$E$6,0)</f>
        <v>0</v>
      </c>
      <c r="N10" s="3">
        <v>0</v>
      </c>
      <c r="O10" s="3">
        <f>IF(K10=0,0,N10/K10)</f>
        <v>0</v>
      </c>
      <c r="P10" s="3">
        <f>M10*O10</f>
        <v>0</v>
      </c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</row>
    <row r="11" spans="1:52" s="2" customFormat="1" x14ac:dyDescent="0.3">
      <c r="A11"/>
      <c r="B11" t="s">
        <v>111</v>
      </c>
      <c r="C11" t="s">
        <v>82</v>
      </c>
      <c r="D11" t="s">
        <v>20</v>
      </c>
      <c r="E11" s="1">
        <v>0</v>
      </c>
      <c r="F11" s="6">
        <f>IF($E$5=0,0,E11/$E$5)</f>
        <v>0</v>
      </c>
      <c r="G11" s="6">
        <f>ROUNDDOWN(F11*$E$6,0)</f>
        <v>0</v>
      </c>
      <c r="H11" s="3">
        <v>0</v>
      </c>
      <c r="I11" s="3">
        <f>IF(E11=0,0,H11/E11)</f>
        <v>0</v>
      </c>
      <c r="J11" s="3">
        <f>I11*G11</f>
        <v>0</v>
      </c>
      <c r="K11" s="1">
        <v>0</v>
      </c>
      <c r="L11" s="6">
        <f>IF($E$5=0,0,K11/$E$5)</f>
        <v>0</v>
      </c>
      <c r="M11" s="1">
        <f>ROUNDDOWN(L11*$E$6,0)</f>
        <v>0</v>
      </c>
      <c r="N11" s="3">
        <v>0</v>
      </c>
      <c r="O11" s="3">
        <f>IF(K11=0,0,N11/K11)</f>
        <v>0</v>
      </c>
      <c r="P11" s="3">
        <f>M11*O11</f>
        <v>0</v>
      </c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</row>
    <row r="12" spans="1:52" s="2" customFormat="1" x14ac:dyDescent="0.3">
      <c r="A12"/>
      <c r="B12" t="s">
        <v>111</v>
      </c>
      <c r="C12" t="s">
        <v>3</v>
      </c>
      <c r="D12" t="s">
        <v>20</v>
      </c>
      <c r="E12" s="1">
        <v>0</v>
      </c>
      <c r="F12" s="6">
        <f>IF($E$5=0,0,E12/$E$5)</f>
        <v>0</v>
      </c>
      <c r="G12" s="6">
        <f>ROUNDDOWN(F12*$E$6,0)</f>
        <v>0</v>
      </c>
      <c r="H12" s="3">
        <v>0</v>
      </c>
      <c r="I12" s="3">
        <f>IF(E12=0,0,H12/E12)</f>
        <v>0</v>
      </c>
      <c r="J12" s="3">
        <f>I12*G12</f>
        <v>0</v>
      </c>
      <c r="K12" s="1">
        <v>0</v>
      </c>
      <c r="L12" s="6">
        <f>IF($E$5=0,0,K12/$E$5)</f>
        <v>0</v>
      </c>
      <c r="M12" s="1">
        <f>ROUNDDOWN(L12*$E$6,0)</f>
        <v>0</v>
      </c>
      <c r="N12" s="3">
        <v>0</v>
      </c>
      <c r="O12" s="3">
        <f>IF(K12=0,0,N12/K12)</f>
        <v>0</v>
      </c>
      <c r="P12" s="3">
        <f>M12*O12</f>
        <v>0</v>
      </c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</row>
    <row r="13" spans="1:52" s="2" customFormat="1" x14ac:dyDescent="0.3">
      <c r="A13"/>
      <c r="B13" t="s">
        <v>111</v>
      </c>
      <c r="C13" t="s">
        <v>4</v>
      </c>
      <c r="D13" t="s">
        <v>20</v>
      </c>
      <c r="E13" s="1">
        <v>0</v>
      </c>
      <c r="F13" s="6">
        <f>IF($E$5=0,0,E13/$E$5)</f>
        <v>0</v>
      </c>
      <c r="G13" s="6">
        <f>ROUNDDOWN(F13*$E$6,0)</f>
        <v>0</v>
      </c>
      <c r="H13" s="3">
        <v>0</v>
      </c>
      <c r="I13" s="3">
        <f>IF(E13=0,0,H13/E13)</f>
        <v>0</v>
      </c>
      <c r="J13" s="3">
        <f>I13*G13</f>
        <v>0</v>
      </c>
      <c r="K13" s="1">
        <v>0</v>
      </c>
      <c r="L13" s="6">
        <f>IF($E$5=0,0,K13/$E$5)</f>
        <v>0</v>
      </c>
      <c r="M13" s="1">
        <f>ROUNDDOWN(L13*$E$6,0)</f>
        <v>0</v>
      </c>
      <c r="N13" s="3">
        <v>0</v>
      </c>
      <c r="O13" s="3">
        <f>IF(K13=0,0,N13/K13)</f>
        <v>0</v>
      </c>
      <c r="P13" s="3">
        <f>M13*O13</f>
        <v>0</v>
      </c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</row>
    <row r="14" spans="1:52" s="2" customFormat="1" x14ac:dyDescent="0.3">
      <c r="A14"/>
      <c r="B14" t="s">
        <v>111</v>
      </c>
      <c r="C14" t="s">
        <v>27</v>
      </c>
      <c r="D14" t="s">
        <v>20</v>
      </c>
      <c r="E14" s="1">
        <v>2</v>
      </c>
      <c r="F14" s="6">
        <f>IF($E$5=0,0,E14/$E$5)</f>
        <v>3.9286556140488726E-5</v>
      </c>
      <c r="G14" s="6">
        <f>ROUNDDOWN(F14*$E$6,0)</f>
        <v>7</v>
      </c>
      <c r="H14" s="3">
        <v>0</v>
      </c>
      <c r="I14" s="3">
        <f>IF(E14=0,0,H14/E14)</f>
        <v>0</v>
      </c>
      <c r="J14" s="3">
        <f>I14*G14</f>
        <v>0</v>
      </c>
      <c r="K14" s="1">
        <v>1</v>
      </c>
      <c r="L14" s="6">
        <f>IF($E$5=0,0,K14/$E$5)</f>
        <v>1.9643278070244363E-5</v>
      </c>
      <c r="M14" s="1">
        <f>ROUNDDOWN(L14*$E$6,0)</f>
        <v>3</v>
      </c>
      <c r="N14" s="3">
        <v>0</v>
      </c>
      <c r="O14" s="3">
        <f>IF(K14=0,0,N14/K14)</f>
        <v>0</v>
      </c>
      <c r="P14" s="3">
        <f>M14*O14</f>
        <v>0</v>
      </c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</row>
    <row r="15" spans="1:52" s="2" customFormat="1" x14ac:dyDescent="0.3">
      <c r="A15"/>
      <c r="B15" t="s">
        <v>111</v>
      </c>
      <c r="C15" t="s">
        <v>7</v>
      </c>
      <c r="D15" t="s">
        <v>20</v>
      </c>
      <c r="E15" s="1">
        <v>1</v>
      </c>
      <c r="F15" s="6">
        <f>IF($E$5=0,0,E15/$E$5)</f>
        <v>1.9643278070244363E-5</v>
      </c>
      <c r="G15" s="6">
        <f>ROUNDDOWN(F15*$E$6,0)</f>
        <v>3</v>
      </c>
      <c r="H15" s="3">
        <v>0</v>
      </c>
      <c r="I15" s="3">
        <f>IF(E15=0,0,H15/E15)</f>
        <v>0</v>
      </c>
      <c r="J15" s="3">
        <f>I15*G15</f>
        <v>0</v>
      </c>
      <c r="K15" s="1">
        <v>1</v>
      </c>
      <c r="L15" s="6">
        <f>IF($E$5=0,0,K15/$E$5)</f>
        <v>1.9643278070244363E-5</v>
      </c>
      <c r="M15" s="1">
        <f>ROUNDDOWN(L15*$E$6,0)</f>
        <v>3</v>
      </c>
      <c r="N15" s="3">
        <v>0</v>
      </c>
      <c r="O15" s="3">
        <f>IF(K15=0,0,N15/K15)</f>
        <v>0</v>
      </c>
      <c r="P15" s="3">
        <f>M15*O15</f>
        <v>0</v>
      </c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</row>
    <row r="16" spans="1:52" s="2" customFormat="1" x14ac:dyDescent="0.3">
      <c r="A16"/>
      <c r="B16" t="s">
        <v>111</v>
      </c>
      <c r="C16" t="s">
        <v>28</v>
      </c>
      <c r="D16" t="s">
        <v>20</v>
      </c>
      <c r="E16" s="1">
        <v>1</v>
      </c>
      <c r="F16" s="6">
        <f>IF($E$5=0,0,E16/$E$5)</f>
        <v>1.9643278070244363E-5</v>
      </c>
      <c r="G16" s="6">
        <f>ROUNDDOWN(F16*$E$6,0)</f>
        <v>3</v>
      </c>
      <c r="H16" s="3">
        <v>0</v>
      </c>
      <c r="I16" s="3">
        <f>IF(E16=0,0,H16/E16)</f>
        <v>0</v>
      </c>
      <c r="J16" s="3">
        <f>I16*G16</f>
        <v>0</v>
      </c>
      <c r="K16" s="1">
        <v>0</v>
      </c>
      <c r="L16" s="6">
        <f>IF($E$5=0,0,K16/$E$5)</f>
        <v>0</v>
      </c>
      <c r="M16" s="1">
        <f>ROUNDDOWN(L16*$E$6,0)</f>
        <v>0</v>
      </c>
      <c r="N16" s="3">
        <v>0</v>
      </c>
      <c r="O16" s="3">
        <f>IF(K16=0,0,N16/K16)</f>
        <v>0</v>
      </c>
      <c r="P16" s="3">
        <f>M16*O16</f>
        <v>0</v>
      </c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</row>
    <row r="17" spans="1:52" s="2" customFormat="1" x14ac:dyDescent="0.3">
      <c r="A17"/>
      <c r="B17" t="s">
        <v>111</v>
      </c>
      <c r="C17" t="s">
        <v>29</v>
      </c>
      <c r="D17" t="s">
        <v>20</v>
      </c>
      <c r="E17" s="1">
        <v>0</v>
      </c>
      <c r="F17" s="6">
        <f>IF($E$5=0,0,E17/$E$5)</f>
        <v>0</v>
      </c>
      <c r="G17" s="6">
        <f>ROUNDDOWN(F17*$E$6,0)</f>
        <v>0</v>
      </c>
      <c r="H17" s="3">
        <v>0</v>
      </c>
      <c r="I17" s="3">
        <f>IF(E17=0,0,H17/E17)</f>
        <v>0</v>
      </c>
      <c r="J17" s="3">
        <f>I17*G17</f>
        <v>0</v>
      </c>
      <c r="K17" s="1">
        <v>0</v>
      </c>
      <c r="L17" s="6">
        <f>IF($E$5=0,0,K17/$E$5)</f>
        <v>0</v>
      </c>
      <c r="M17" s="1">
        <f>ROUNDDOWN(L17*$E$6,0)</f>
        <v>0</v>
      </c>
      <c r="N17" s="3">
        <v>0</v>
      </c>
      <c r="O17" s="3">
        <f>IF(K17=0,0,N17/K17)</f>
        <v>0</v>
      </c>
      <c r="P17" s="3">
        <f>M17*O17</f>
        <v>0</v>
      </c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</row>
    <row r="18" spans="1:52" s="2" customFormat="1" x14ac:dyDescent="0.3">
      <c r="A18"/>
      <c r="B18" t="s">
        <v>111</v>
      </c>
      <c r="C18" t="s">
        <v>30</v>
      </c>
      <c r="D18" t="s">
        <v>20</v>
      </c>
      <c r="E18" s="1">
        <v>0</v>
      </c>
      <c r="F18" s="6">
        <f>IF($E$5=0,0,E18/$E$5)</f>
        <v>0</v>
      </c>
      <c r="G18" s="6">
        <f>ROUNDDOWN(F18*$E$6,0)</f>
        <v>0</v>
      </c>
      <c r="H18" s="3">
        <v>0</v>
      </c>
      <c r="I18" s="3">
        <f>IF(E18=0,0,H18/E18)</f>
        <v>0</v>
      </c>
      <c r="J18" s="3">
        <f>I18*G18</f>
        <v>0</v>
      </c>
      <c r="K18" s="1">
        <v>0</v>
      </c>
      <c r="L18" s="6">
        <f>IF($E$5=0,0,K18/$E$5)</f>
        <v>0</v>
      </c>
      <c r="M18" s="1">
        <f>ROUNDDOWN(L18*$E$6,0)</f>
        <v>0</v>
      </c>
      <c r="N18" s="3">
        <v>0</v>
      </c>
      <c r="O18" s="3">
        <f>IF(K18=0,0,N18/K18)</f>
        <v>0</v>
      </c>
      <c r="P18" s="3">
        <f>M18*O18</f>
        <v>0</v>
      </c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</row>
    <row r="19" spans="1:52" s="2" customFormat="1" x14ac:dyDescent="0.3">
      <c r="A19"/>
      <c r="B19" t="s">
        <v>111</v>
      </c>
      <c r="C19" t="s">
        <v>31</v>
      </c>
      <c r="D19" t="s">
        <v>20</v>
      </c>
      <c r="E19" s="1">
        <v>0</v>
      </c>
      <c r="F19" s="6">
        <f>IF($E$5=0,0,E19/$E$5)</f>
        <v>0</v>
      </c>
      <c r="G19" s="6">
        <f>ROUNDDOWN(F19*$E$6,0)</f>
        <v>0</v>
      </c>
      <c r="H19" s="3">
        <v>0</v>
      </c>
      <c r="I19" s="3">
        <f>IF(E19=0,0,H19/E19)</f>
        <v>0</v>
      </c>
      <c r="J19" s="3">
        <f>I19*G19</f>
        <v>0</v>
      </c>
      <c r="K19" s="1">
        <v>0</v>
      </c>
      <c r="L19" s="6">
        <f>IF($E$5=0,0,K19/$E$5)</f>
        <v>0</v>
      </c>
      <c r="M19" s="1">
        <f>ROUNDDOWN(L19*$E$6,0)</f>
        <v>0</v>
      </c>
      <c r="N19" s="3">
        <v>0</v>
      </c>
      <c r="O19" s="3">
        <f>IF(K19=0,0,N19/K19)</f>
        <v>0</v>
      </c>
      <c r="P19" s="3">
        <f>M19*O19</f>
        <v>0</v>
      </c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</row>
    <row r="20" spans="1:52" s="2" customFormat="1" x14ac:dyDescent="0.3">
      <c r="A20"/>
      <c r="B20" t="s">
        <v>111</v>
      </c>
      <c r="C20" t="s">
        <v>32</v>
      </c>
      <c r="D20" t="s">
        <v>20</v>
      </c>
      <c r="E20" s="1">
        <v>0</v>
      </c>
      <c r="F20" s="6">
        <f>IF($E$5=0,0,E20/$E$5)</f>
        <v>0</v>
      </c>
      <c r="G20" s="6">
        <f>ROUNDDOWN(F20*$E$6,0)</f>
        <v>0</v>
      </c>
      <c r="H20" s="3">
        <v>0</v>
      </c>
      <c r="I20" s="3">
        <f>IF(E20=0,0,H20/E20)</f>
        <v>0</v>
      </c>
      <c r="J20" s="3">
        <f>I20*G20</f>
        <v>0</v>
      </c>
      <c r="K20" s="1">
        <v>0</v>
      </c>
      <c r="L20" s="6">
        <f>IF($E$5=0,0,K20/$E$5)</f>
        <v>0</v>
      </c>
      <c r="M20" s="1">
        <f>ROUNDDOWN(L20*$E$6,0)</f>
        <v>0</v>
      </c>
      <c r="N20" s="3">
        <v>0</v>
      </c>
      <c r="O20" s="3">
        <f>IF(K20=0,0,N20/K20)</f>
        <v>0</v>
      </c>
      <c r="P20" s="3">
        <f>M20*O20</f>
        <v>0</v>
      </c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</row>
    <row r="21" spans="1:52" s="2" customFormat="1" x14ac:dyDescent="0.3">
      <c r="A21"/>
      <c r="B21" t="s">
        <v>111</v>
      </c>
      <c r="C21" t="s">
        <v>33</v>
      </c>
      <c r="D21" t="s">
        <v>20</v>
      </c>
      <c r="E21" s="1">
        <v>2</v>
      </c>
      <c r="F21" s="6">
        <f>IF($E$5=0,0,E21/$E$5)</f>
        <v>3.9286556140488726E-5</v>
      </c>
      <c r="G21" s="6">
        <f>ROUNDDOWN(F21*$E$6,0)</f>
        <v>7</v>
      </c>
      <c r="H21" s="3">
        <v>0</v>
      </c>
      <c r="I21" s="3">
        <f>IF(E21=0,0,H21/E21)</f>
        <v>0</v>
      </c>
      <c r="J21" s="3">
        <f>I21*G21</f>
        <v>0</v>
      </c>
      <c r="K21" s="1">
        <v>0</v>
      </c>
      <c r="L21" s="6">
        <f>IF($E$5=0,0,K21/$E$5)</f>
        <v>0</v>
      </c>
      <c r="M21" s="1">
        <f>ROUNDDOWN(L21*$E$6,0)</f>
        <v>0</v>
      </c>
      <c r="N21" s="3">
        <v>0</v>
      </c>
      <c r="O21" s="3">
        <f>IF(K21=0,0,N21/K21)</f>
        <v>0</v>
      </c>
      <c r="P21" s="3">
        <f>M21*O21</f>
        <v>0</v>
      </c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</row>
    <row r="22" spans="1:52" s="2" customFormat="1" x14ac:dyDescent="0.3">
      <c r="A22"/>
      <c r="B22" t="s">
        <v>111</v>
      </c>
      <c r="C22" t="s">
        <v>8</v>
      </c>
      <c r="D22" t="s">
        <v>20</v>
      </c>
      <c r="E22" s="1">
        <v>1</v>
      </c>
      <c r="F22" s="6">
        <f>IF($E$5=0,0,E22/$E$5)</f>
        <v>1.9643278070244363E-5</v>
      </c>
      <c r="G22" s="6">
        <f>ROUNDDOWN(F22*$E$6,0)</f>
        <v>3</v>
      </c>
      <c r="H22" s="3">
        <v>0</v>
      </c>
      <c r="I22" s="3">
        <f>IF(E22=0,0,H22/E22)</f>
        <v>0</v>
      </c>
      <c r="J22" s="3">
        <f>I22*G22</f>
        <v>0</v>
      </c>
      <c r="K22" s="1">
        <v>0</v>
      </c>
      <c r="L22" s="6">
        <f>IF($E$5=0,0,K22/$E$5)</f>
        <v>0</v>
      </c>
      <c r="M22" s="1">
        <f>ROUNDDOWN(L22*$E$6,0)</f>
        <v>0</v>
      </c>
      <c r="N22" s="3">
        <v>0</v>
      </c>
      <c r="O22" s="3">
        <f>IF(K22=0,0,N22/K22)</f>
        <v>0</v>
      </c>
      <c r="P22" s="3">
        <f>M22*O22</f>
        <v>0</v>
      </c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</row>
    <row r="23" spans="1:52" s="2" customFormat="1" x14ac:dyDescent="0.3">
      <c r="A23"/>
      <c r="B23" t="s">
        <v>111</v>
      </c>
      <c r="C23" t="s">
        <v>34</v>
      </c>
      <c r="D23" t="s">
        <v>20</v>
      </c>
      <c r="E23" s="1">
        <v>0</v>
      </c>
      <c r="F23" s="6">
        <f>IF($E$5=0,0,E23/$E$5)</f>
        <v>0</v>
      </c>
      <c r="G23" s="6">
        <f>ROUNDDOWN(F23*$E$6,0)</f>
        <v>0</v>
      </c>
      <c r="H23" s="3">
        <v>0</v>
      </c>
      <c r="I23" s="3">
        <f>IF(E23=0,0,H23/E23)</f>
        <v>0</v>
      </c>
      <c r="J23" s="3">
        <f>I23*G23</f>
        <v>0</v>
      </c>
      <c r="K23" s="1">
        <v>0</v>
      </c>
      <c r="L23" s="6">
        <f>IF($E$5=0,0,K23/$E$5)</f>
        <v>0</v>
      </c>
      <c r="M23" s="1">
        <f>ROUNDDOWN(L23*$E$6,0)</f>
        <v>0</v>
      </c>
      <c r="N23" s="3">
        <v>0</v>
      </c>
      <c r="O23" s="3">
        <f>IF(K23=0,0,N23/K23)</f>
        <v>0</v>
      </c>
      <c r="P23" s="3">
        <f>M23*O23</f>
        <v>0</v>
      </c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</row>
    <row r="24" spans="1:52" s="2" customFormat="1" x14ac:dyDescent="0.3">
      <c r="A24"/>
      <c r="B24" t="s">
        <v>111</v>
      </c>
      <c r="C24" t="s">
        <v>35</v>
      </c>
      <c r="D24" t="s">
        <v>20</v>
      </c>
      <c r="E24" s="1">
        <v>0</v>
      </c>
      <c r="F24" s="6">
        <f>IF($E$5=0,0,E24/$E$5)</f>
        <v>0</v>
      </c>
      <c r="G24" s="6">
        <f>ROUNDDOWN(F24*$E$6,0)</f>
        <v>0</v>
      </c>
      <c r="H24" s="3">
        <v>0</v>
      </c>
      <c r="I24" s="3">
        <f>IF(E24=0,0,H24/E24)</f>
        <v>0</v>
      </c>
      <c r="J24" s="3">
        <f>I24*G24</f>
        <v>0</v>
      </c>
      <c r="K24" s="1">
        <v>0</v>
      </c>
      <c r="L24" s="6">
        <f>IF($E$5=0,0,K24/$E$5)</f>
        <v>0</v>
      </c>
      <c r="M24" s="1">
        <f>ROUNDDOWN(L24*$E$6,0)</f>
        <v>0</v>
      </c>
      <c r="N24" s="3">
        <v>0</v>
      </c>
      <c r="O24" s="3">
        <f>IF(K24=0,0,N24/K24)</f>
        <v>0</v>
      </c>
      <c r="P24" s="3">
        <f>M24*O24</f>
        <v>0</v>
      </c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</row>
    <row r="25" spans="1:52" s="2" customFormat="1" x14ac:dyDescent="0.3">
      <c r="A25"/>
      <c r="B25" t="s">
        <v>111</v>
      </c>
      <c r="C25" t="s">
        <v>36</v>
      </c>
      <c r="D25" t="s">
        <v>20</v>
      </c>
      <c r="E25" s="1">
        <v>6</v>
      </c>
      <c r="F25" s="6">
        <f>IF($E$5=0,0,E25/$E$5)</f>
        <v>1.1785966842146618E-4</v>
      </c>
      <c r="G25" s="6">
        <f>ROUNDDOWN(F25*$E$6,0)</f>
        <v>21</v>
      </c>
      <c r="H25" s="3">
        <v>0</v>
      </c>
      <c r="I25" s="3">
        <f>IF(E25=0,0,H25/E25)</f>
        <v>0</v>
      </c>
      <c r="J25" s="3">
        <f>I25*G25</f>
        <v>0</v>
      </c>
      <c r="K25" s="1">
        <v>0</v>
      </c>
      <c r="L25" s="6">
        <f>IF($E$5=0,0,K25/$E$5)</f>
        <v>0</v>
      </c>
      <c r="M25" s="1">
        <f>ROUNDDOWN(L25*$E$6,0)</f>
        <v>0</v>
      </c>
      <c r="N25" s="3">
        <v>0</v>
      </c>
      <c r="O25" s="3">
        <f>IF(K25=0,0,N25/K25)</f>
        <v>0</v>
      </c>
      <c r="P25" s="3">
        <f>M25*O25</f>
        <v>0</v>
      </c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</row>
    <row r="26" spans="1:52" s="2" customFormat="1" x14ac:dyDescent="0.3">
      <c r="A26"/>
      <c r="B26" t="s">
        <v>111</v>
      </c>
      <c r="C26" t="s">
        <v>37</v>
      </c>
      <c r="D26" t="s">
        <v>20</v>
      </c>
      <c r="E26" s="1">
        <v>1</v>
      </c>
      <c r="F26" s="6">
        <f>IF($E$5=0,0,E26/$E$5)</f>
        <v>1.9643278070244363E-5</v>
      </c>
      <c r="G26" s="6">
        <f>ROUNDDOWN(F26*$E$6,0)</f>
        <v>3</v>
      </c>
      <c r="H26" s="3">
        <v>1400</v>
      </c>
      <c r="I26" s="3">
        <f>IF(E26=0,0,H26/E26)</f>
        <v>1400</v>
      </c>
      <c r="J26" s="3">
        <f>I26*G26</f>
        <v>4200</v>
      </c>
      <c r="K26" s="1">
        <v>0</v>
      </c>
      <c r="L26" s="6">
        <f>IF($E$5=0,0,K26/$E$5)</f>
        <v>0</v>
      </c>
      <c r="M26" s="1">
        <f>ROUNDDOWN(L26*$E$6,0)</f>
        <v>0</v>
      </c>
      <c r="N26" s="3">
        <v>0</v>
      </c>
      <c r="O26" s="3">
        <f>IF(K26=0,0,N26/K26)</f>
        <v>0</v>
      </c>
      <c r="P26" s="3">
        <f>M26*O26</f>
        <v>0</v>
      </c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</row>
    <row r="27" spans="1:52" s="2" customFormat="1" x14ac:dyDescent="0.3">
      <c r="A27"/>
      <c r="B27" t="s">
        <v>111</v>
      </c>
      <c r="C27" t="s">
        <v>38</v>
      </c>
      <c r="D27" t="s">
        <v>20</v>
      </c>
      <c r="E27" s="1">
        <v>2</v>
      </c>
      <c r="F27" s="6">
        <f>IF($E$5=0,0,E27/$E$5)</f>
        <v>3.9286556140488726E-5</v>
      </c>
      <c r="G27" s="6">
        <f>ROUNDDOWN(F27*$E$6,0)</f>
        <v>7</v>
      </c>
      <c r="H27" s="3">
        <v>0</v>
      </c>
      <c r="I27" s="3">
        <f>IF(E27=0,0,H27/E27)</f>
        <v>0</v>
      </c>
      <c r="J27" s="3">
        <f>I27*G27</f>
        <v>0</v>
      </c>
      <c r="K27" s="1">
        <v>0</v>
      </c>
      <c r="L27" s="6">
        <f>IF($E$5=0,0,K27/$E$5)</f>
        <v>0</v>
      </c>
      <c r="M27" s="1">
        <f>ROUNDDOWN(L27*$E$6,0)</f>
        <v>0</v>
      </c>
      <c r="N27" s="3">
        <v>0</v>
      </c>
      <c r="O27" s="3">
        <f>IF(K27=0,0,N27/K27)</f>
        <v>0</v>
      </c>
      <c r="P27" s="3">
        <f>M27*O27</f>
        <v>0</v>
      </c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</row>
    <row r="28" spans="1:52" s="2" customFormat="1" x14ac:dyDescent="0.3">
      <c r="A28"/>
      <c r="B28" t="s">
        <v>111</v>
      </c>
      <c r="C28" t="s">
        <v>39</v>
      </c>
      <c r="D28" t="s">
        <v>20</v>
      </c>
      <c r="E28" s="1">
        <v>1</v>
      </c>
      <c r="F28" s="6">
        <f>IF($E$5=0,0,E28/$E$5)</f>
        <v>1.9643278070244363E-5</v>
      </c>
      <c r="G28" s="6">
        <f>ROUNDDOWN(F28*$E$6,0)</f>
        <v>3</v>
      </c>
      <c r="H28" s="3">
        <v>0</v>
      </c>
      <c r="I28" s="3">
        <f>IF(E28=0,0,H28/E28)</f>
        <v>0</v>
      </c>
      <c r="J28" s="3">
        <f>I28*G28</f>
        <v>0</v>
      </c>
      <c r="K28" s="1">
        <v>0</v>
      </c>
      <c r="L28" s="6">
        <f>IF($E$5=0,0,K28/$E$5)</f>
        <v>0</v>
      </c>
      <c r="M28" s="1">
        <f>ROUNDDOWN(L28*$E$6,0)</f>
        <v>0</v>
      </c>
      <c r="N28" s="3">
        <v>0</v>
      </c>
      <c r="O28" s="3">
        <f>IF(K28=0,0,N28/K28)</f>
        <v>0</v>
      </c>
      <c r="P28" s="3">
        <f>M28*O28</f>
        <v>0</v>
      </c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</row>
    <row r="29" spans="1:52" s="2" customFormat="1" x14ac:dyDescent="0.3">
      <c r="A29"/>
      <c r="B29" t="s">
        <v>111</v>
      </c>
      <c r="C29" t="s">
        <v>9</v>
      </c>
      <c r="D29" t="s">
        <v>20</v>
      </c>
      <c r="E29" s="1">
        <v>0</v>
      </c>
      <c r="F29" s="6">
        <f>IF($E$5=0,0,E29/$E$5)</f>
        <v>0</v>
      </c>
      <c r="G29" s="6">
        <f>ROUNDDOWN(F29*$E$6,0)</f>
        <v>0</v>
      </c>
      <c r="H29" s="3">
        <v>0</v>
      </c>
      <c r="I29" s="3">
        <f>IF(E29=0,0,H29/E29)</f>
        <v>0</v>
      </c>
      <c r="J29" s="3">
        <f>I29*G29</f>
        <v>0</v>
      </c>
      <c r="K29" s="1">
        <v>1</v>
      </c>
      <c r="L29" s="6">
        <f>IF($E$5=0,0,K29/$E$5)</f>
        <v>1.9643278070244363E-5</v>
      </c>
      <c r="M29" s="1">
        <f>ROUNDDOWN(L29*$E$6,0)</f>
        <v>3</v>
      </c>
      <c r="N29" s="3">
        <v>7000</v>
      </c>
      <c r="O29" s="3">
        <f>IF(K29=0,0,N29/K29)</f>
        <v>7000</v>
      </c>
      <c r="P29" s="3">
        <f>M29*O29</f>
        <v>21000</v>
      </c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</row>
    <row r="30" spans="1:52" s="2" customFormat="1" x14ac:dyDescent="0.3">
      <c r="A30"/>
      <c r="B30" t="s">
        <v>111</v>
      </c>
      <c r="C30" t="s">
        <v>10</v>
      </c>
      <c r="D30" t="s">
        <v>20</v>
      </c>
      <c r="E30" s="1">
        <v>0</v>
      </c>
      <c r="F30" s="6">
        <f>IF($E$5=0,0,E30/$E$5)</f>
        <v>0</v>
      </c>
      <c r="G30" s="6">
        <f>ROUNDDOWN(F30*$E$6,0)</f>
        <v>0</v>
      </c>
      <c r="H30" s="3">
        <v>0</v>
      </c>
      <c r="I30" s="3">
        <f>IF(E30=0,0,H30/E30)</f>
        <v>0</v>
      </c>
      <c r="J30" s="3">
        <f>I30*G30</f>
        <v>0</v>
      </c>
      <c r="K30" s="1">
        <v>0</v>
      </c>
      <c r="L30" s="6">
        <f>IF($E$5=0,0,K30/$E$5)</f>
        <v>0</v>
      </c>
      <c r="M30" s="1">
        <f>ROUNDDOWN(L30*$E$6,0)</f>
        <v>0</v>
      </c>
      <c r="N30" s="3">
        <v>0</v>
      </c>
      <c r="O30" s="3">
        <f>IF(K30=0,0,N30/K30)</f>
        <v>0</v>
      </c>
      <c r="P30" s="3">
        <f>M30*O30</f>
        <v>0</v>
      </c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</row>
    <row r="31" spans="1:52" s="2" customFormat="1" x14ac:dyDescent="0.3">
      <c r="A31"/>
      <c r="B31" t="s">
        <v>111</v>
      </c>
      <c r="C31" t="s">
        <v>11</v>
      </c>
      <c r="D31" t="s">
        <v>20</v>
      </c>
      <c r="E31" s="1">
        <v>0</v>
      </c>
      <c r="F31" s="6">
        <f>IF($E$5=0,0,E31/$E$5)</f>
        <v>0</v>
      </c>
      <c r="G31" s="6">
        <f>ROUNDDOWN(F31*$E$6,0)</f>
        <v>0</v>
      </c>
      <c r="H31" s="3">
        <v>0</v>
      </c>
      <c r="I31" s="3">
        <f>IF(E31=0,0,H31/E31)</f>
        <v>0</v>
      </c>
      <c r="J31" s="3">
        <f>I31*G31</f>
        <v>0</v>
      </c>
      <c r="K31" s="1">
        <v>0</v>
      </c>
      <c r="L31" s="6">
        <f>IF($E$5=0,0,K31/$E$5)</f>
        <v>0</v>
      </c>
      <c r="M31" s="1">
        <f>ROUNDDOWN(L31*$E$6,0)</f>
        <v>0</v>
      </c>
      <c r="N31" s="3">
        <v>0</v>
      </c>
      <c r="O31" s="3">
        <f>IF(K31=0,0,N31/K31)</f>
        <v>0</v>
      </c>
      <c r="P31" s="3">
        <f>M31*O31</f>
        <v>0</v>
      </c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</row>
    <row r="32" spans="1:52" s="2" customFormat="1" x14ac:dyDescent="0.3">
      <c r="A32"/>
      <c r="B32" t="s">
        <v>111</v>
      </c>
      <c r="C32" t="s">
        <v>40</v>
      </c>
      <c r="D32" t="s">
        <v>20</v>
      </c>
      <c r="E32" s="1">
        <v>0</v>
      </c>
      <c r="F32" s="6">
        <f>IF($E$5=0,0,E32/$E$5)</f>
        <v>0</v>
      </c>
      <c r="G32" s="6">
        <f>ROUNDDOWN(F32*$E$6,0)</f>
        <v>0</v>
      </c>
      <c r="H32" s="3">
        <v>0</v>
      </c>
      <c r="I32" s="3">
        <f>IF(E32=0,0,H32/E32)</f>
        <v>0</v>
      </c>
      <c r="J32" s="3">
        <f>I32*G32</f>
        <v>0</v>
      </c>
      <c r="K32" s="1">
        <v>0</v>
      </c>
      <c r="L32" s="6">
        <f>IF($E$5=0,0,K32/$E$5)</f>
        <v>0</v>
      </c>
      <c r="M32" s="1">
        <f>ROUNDDOWN(L32*$E$6,0)</f>
        <v>0</v>
      </c>
      <c r="N32" s="3">
        <v>0</v>
      </c>
      <c r="O32" s="3">
        <f>IF(K32=0,0,N32/K32)</f>
        <v>0</v>
      </c>
      <c r="P32" s="3">
        <f>M32*O32</f>
        <v>0</v>
      </c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</row>
    <row r="33" spans="1:52" s="2" customFormat="1" x14ac:dyDescent="0.3">
      <c r="A33"/>
      <c r="B33" t="s">
        <v>111</v>
      </c>
      <c r="C33" t="s">
        <v>41</v>
      </c>
      <c r="D33" t="s">
        <v>20</v>
      </c>
      <c r="E33" s="1">
        <v>0</v>
      </c>
      <c r="F33" s="6">
        <f>IF($E$5=0,0,E33/$E$5)</f>
        <v>0</v>
      </c>
      <c r="G33" s="6">
        <f>ROUNDDOWN(F33*$E$6,0)</f>
        <v>0</v>
      </c>
      <c r="H33" s="3">
        <v>0</v>
      </c>
      <c r="I33" s="3">
        <f>IF(E33=0,0,H33/E33)</f>
        <v>0</v>
      </c>
      <c r="J33" s="3">
        <f>I33*G33</f>
        <v>0</v>
      </c>
      <c r="K33" s="1">
        <v>0</v>
      </c>
      <c r="L33" s="6">
        <f>IF($E$5=0,0,K33/$E$5)</f>
        <v>0</v>
      </c>
      <c r="M33" s="1">
        <f>ROUNDDOWN(L33*$E$6,0)</f>
        <v>0</v>
      </c>
      <c r="N33" s="3">
        <v>0</v>
      </c>
      <c r="O33" s="3">
        <f>IF(K33=0,0,N33/K33)</f>
        <v>0</v>
      </c>
      <c r="P33" s="3">
        <f>M33*O33</f>
        <v>0</v>
      </c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</row>
    <row r="34" spans="1:52" s="2" customFormat="1" x14ac:dyDescent="0.3">
      <c r="A34"/>
      <c r="B34" t="s">
        <v>111</v>
      </c>
      <c r="C34" t="s">
        <v>12</v>
      </c>
      <c r="D34" t="s">
        <v>20</v>
      </c>
      <c r="E34" s="1">
        <v>0</v>
      </c>
      <c r="F34" s="6">
        <f>IF($E$5=0,0,E34/$E$5)</f>
        <v>0</v>
      </c>
      <c r="G34" s="6">
        <f>ROUNDDOWN(F34*$E$6,0)</f>
        <v>0</v>
      </c>
      <c r="H34" s="3">
        <v>0</v>
      </c>
      <c r="I34" s="3">
        <f>IF(E34=0,0,H34/E34)</f>
        <v>0</v>
      </c>
      <c r="J34" s="3">
        <f>I34*G34</f>
        <v>0</v>
      </c>
      <c r="K34" s="1">
        <v>0</v>
      </c>
      <c r="L34" s="6">
        <f>IF($E$5=0,0,K34/$E$5)</f>
        <v>0</v>
      </c>
      <c r="M34" s="1">
        <f>ROUNDDOWN(L34*$E$6,0)</f>
        <v>0</v>
      </c>
      <c r="N34" s="3">
        <v>0</v>
      </c>
      <c r="O34" s="3">
        <f>IF(K34=0,0,N34/K34)</f>
        <v>0</v>
      </c>
      <c r="P34" s="3">
        <f>M34*O34</f>
        <v>0</v>
      </c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</row>
    <row r="35" spans="1:52" s="2" customFormat="1" x14ac:dyDescent="0.3">
      <c r="A35"/>
      <c r="B35" t="s">
        <v>111</v>
      </c>
      <c r="C35" t="s">
        <v>42</v>
      </c>
      <c r="D35" t="s">
        <v>20</v>
      </c>
      <c r="E35" s="1">
        <v>0</v>
      </c>
      <c r="F35" s="6">
        <f>IF($E$5=0,0,E35/$E$5)</f>
        <v>0</v>
      </c>
      <c r="G35" s="6">
        <f>ROUNDDOWN(F35*$E$6,0)</f>
        <v>0</v>
      </c>
      <c r="H35" s="3">
        <v>0</v>
      </c>
      <c r="I35" s="3">
        <f>IF(E35=0,0,H35/E35)</f>
        <v>0</v>
      </c>
      <c r="J35" s="3">
        <f>I35*G35</f>
        <v>0</v>
      </c>
      <c r="K35" s="1">
        <v>0</v>
      </c>
      <c r="L35" s="6">
        <f>IF($E$5=0,0,K35/$E$5)</f>
        <v>0</v>
      </c>
      <c r="M35" s="1">
        <f>ROUNDDOWN(L35*$E$6,0)</f>
        <v>0</v>
      </c>
      <c r="N35" s="3">
        <v>0</v>
      </c>
      <c r="O35" s="3">
        <f>IF(K35=0,0,N35/K35)</f>
        <v>0</v>
      </c>
      <c r="P35" s="3">
        <f>M35*O35</f>
        <v>0</v>
      </c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</row>
    <row r="36" spans="1:52" s="2" customFormat="1" x14ac:dyDescent="0.3">
      <c r="A36"/>
      <c r="B36" t="s">
        <v>111</v>
      </c>
      <c r="C36" t="s">
        <v>13</v>
      </c>
      <c r="D36" t="s">
        <v>20</v>
      </c>
      <c r="E36" s="1">
        <v>1</v>
      </c>
      <c r="F36" s="6">
        <f>IF($E$5=0,0,E36/$E$5)</f>
        <v>1.9643278070244363E-5</v>
      </c>
      <c r="G36" s="6">
        <f>ROUNDDOWN(F36*$E$6,0)</f>
        <v>3</v>
      </c>
      <c r="H36" s="3">
        <v>0</v>
      </c>
      <c r="I36" s="3">
        <f>IF(E36=0,0,H36/E36)</f>
        <v>0</v>
      </c>
      <c r="J36" s="3">
        <f>I36*G36</f>
        <v>0</v>
      </c>
      <c r="K36" s="1">
        <v>0</v>
      </c>
      <c r="L36" s="6">
        <f>IF($E$5=0,0,K36/$E$5)</f>
        <v>0</v>
      </c>
      <c r="M36" s="1">
        <f>ROUNDDOWN(L36*$E$6,0)</f>
        <v>0</v>
      </c>
      <c r="N36" s="3">
        <v>0</v>
      </c>
      <c r="O36" s="3">
        <f>IF(K36=0,0,N36/K36)</f>
        <v>0</v>
      </c>
      <c r="P36" s="3">
        <f>M36*O36</f>
        <v>0</v>
      </c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</row>
    <row r="37" spans="1:52" x14ac:dyDescent="0.3">
      <c r="Q37"/>
    </row>
    <row r="38" spans="1:52" x14ac:dyDescent="0.3">
      <c r="E38" s="1">
        <f>SUM(E7:E36)</f>
        <v>21</v>
      </c>
      <c r="G38" s="6">
        <f>SUM(G7:G36)</f>
        <v>70</v>
      </c>
      <c r="H38" s="3">
        <f>SUM(H7:H36)</f>
        <v>18537</v>
      </c>
      <c r="I38" s="3">
        <f>IF(E38=0,0,H38/E38)</f>
        <v>882.71428571428567</v>
      </c>
      <c r="J38" s="3">
        <f>G38*I38</f>
        <v>61790</v>
      </c>
      <c r="K38" s="1">
        <f>SUM(K7:K36)</f>
        <v>4</v>
      </c>
      <c r="M38" s="1">
        <f>SUM(M7:M36)</f>
        <v>12</v>
      </c>
      <c r="N38" s="3">
        <f>SUM(N7:N36)</f>
        <v>7000</v>
      </c>
      <c r="O38" s="3">
        <f>IF(K38=0,0,N38/K38)</f>
        <v>1750</v>
      </c>
      <c r="P38" s="3">
        <f>M38*O38</f>
        <v>21000</v>
      </c>
      <c r="Q38"/>
    </row>
    <row r="39" spans="1:52" x14ac:dyDescent="0.3">
      <c r="Q39"/>
    </row>
    <row r="40" spans="1:52" x14ac:dyDescent="0.3">
      <c r="Q40"/>
    </row>
    <row r="41" spans="1:52" x14ac:dyDescent="0.3">
      <c r="Q41"/>
    </row>
    <row r="42" spans="1:52" x14ac:dyDescent="0.3">
      <c r="Q42"/>
    </row>
    <row r="43" spans="1:52" x14ac:dyDescent="0.3">
      <c r="Q43"/>
    </row>
    <row r="44" spans="1:52" x14ac:dyDescent="0.3">
      <c r="Q44"/>
    </row>
    <row r="45" spans="1:52" x14ac:dyDescent="0.3">
      <c r="Q45"/>
    </row>
    <row r="46" spans="1:52" x14ac:dyDescent="0.3">
      <c r="Q46"/>
    </row>
    <row r="47" spans="1:52" x14ac:dyDescent="0.3">
      <c r="Q47"/>
    </row>
    <row r="48" spans="1:52" x14ac:dyDescent="0.3">
      <c r="Q48"/>
    </row>
    <row r="49" spans="17:17" x14ac:dyDescent="0.3">
      <c r="Q49"/>
    </row>
    <row r="50" spans="17:17" x14ac:dyDescent="0.3">
      <c r="Q50"/>
    </row>
    <row r="51" spans="17:17" x14ac:dyDescent="0.3">
      <c r="Q51"/>
    </row>
    <row r="52" spans="17:17" x14ac:dyDescent="0.3">
      <c r="Q52"/>
    </row>
    <row r="53" spans="17:17" x14ac:dyDescent="0.3">
      <c r="Q53"/>
    </row>
    <row r="54" spans="17:17" x14ac:dyDescent="0.3">
      <c r="Q54"/>
    </row>
    <row r="55" spans="17:17" x14ac:dyDescent="0.3">
      <c r="Q55"/>
    </row>
    <row r="56" spans="17:17" x14ac:dyDescent="0.3">
      <c r="Q56"/>
    </row>
    <row r="57" spans="17:17" x14ac:dyDescent="0.3">
      <c r="Q57"/>
    </row>
    <row r="58" spans="17:17" x14ac:dyDescent="0.3">
      <c r="Q58"/>
    </row>
    <row r="59" spans="17:17" x14ac:dyDescent="0.3">
      <c r="Q59"/>
    </row>
    <row r="60" spans="17:17" x14ac:dyDescent="0.3">
      <c r="Q60"/>
    </row>
    <row r="61" spans="17:17" x14ac:dyDescent="0.3">
      <c r="Q61"/>
    </row>
    <row r="62" spans="17:17" x14ac:dyDescent="0.3">
      <c r="Q62"/>
    </row>
    <row r="63" spans="17:17" x14ac:dyDescent="0.3">
      <c r="Q63"/>
    </row>
    <row r="64" spans="17:17" x14ac:dyDescent="0.3">
      <c r="Q64"/>
    </row>
    <row r="65" spans="17:17" x14ac:dyDescent="0.3">
      <c r="Q65"/>
    </row>
    <row r="66" spans="17:17" x14ac:dyDescent="0.3">
      <c r="Q66"/>
    </row>
    <row r="67" spans="17:17" x14ac:dyDescent="0.3">
      <c r="Q67"/>
    </row>
    <row r="68" spans="17:17" x14ac:dyDescent="0.3">
      <c r="Q68"/>
    </row>
    <row r="69" spans="17:17" x14ac:dyDescent="0.3">
      <c r="Q69"/>
    </row>
    <row r="70" spans="17:17" x14ac:dyDescent="0.3">
      <c r="Q70"/>
    </row>
    <row r="71" spans="17:17" x14ac:dyDescent="0.3">
      <c r="Q71"/>
    </row>
    <row r="72" spans="17:17" x14ac:dyDescent="0.3">
      <c r="Q72"/>
    </row>
    <row r="73" spans="17:17" x14ac:dyDescent="0.3">
      <c r="Q73"/>
    </row>
    <row r="74" spans="17:17" x14ac:dyDescent="0.3">
      <c r="Q74"/>
    </row>
    <row r="75" spans="17:17" x14ac:dyDescent="0.3">
      <c r="Q75"/>
    </row>
    <row r="76" spans="17:17" x14ac:dyDescent="0.3">
      <c r="Q76"/>
    </row>
    <row r="77" spans="17:17" x14ac:dyDescent="0.3">
      <c r="Q77"/>
    </row>
    <row r="78" spans="17:17" x14ac:dyDescent="0.3">
      <c r="Q78"/>
    </row>
    <row r="79" spans="17:17" x14ac:dyDescent="0.3">
      <c r="Q79"/>
    </row>
    <row r="80" spans="17:17" x14ac:dyDescent="0.3">
      <c r="Q80"/>
    </row>
    <row r="81" spans="17:17" x14ac:dyDescent="0.3">
      <c r="Q81"/>
    </row>
    <row r="82" spans="17:17" x14ac:dyDescent="0.3">
      <c r="Q82"/>
    </row>
    <row r="83" spans="17:17" x14ac:dyDescent="0.3">
      <c r="Q83"/>
    </row>
    <row r="84" spans="17:17" x14ac:dyDescent="0.3">
      <c r="Q84"/>
    </row>
    <row r="85" spans="17:17" x14ac:dyDescent="0.3">
      <c r="Q85"/>
    </row>
    <row r="86" spans="17:17" x14ac:dyDescent="0.3">
      <c r="Q86"/>
    </row>
    <row r="87" spans="17:17" x14ac:dyDescent="0.3">
      <c r="Q87"/>
    </row>
    <row r="88" spans="17:17" x14ac:dyDescent="0.3">
      <c r="Q88"/>
    </row>
    <row r="89" spans="17:17" x14ac:dyDescent="0.3">
      <c r="Q89"/>
    </row>
    <row r="90" spans="17:17" x14ac:dyDescent="0.3">
      <c r="Q90"/>
    </row>
    <row r="91" spans="17:17" x14ac:dyDescent="0.3">
      <c r="Q91"/>
    </row>
    <row r="92" spans="17:17" x14ac:dyDescent="0.3">
      <c r="Q92"/>
    </row>
    <row r="93" spans="17:17" x14ac:dyDescent="0.3">
      <c r="Q93"/>
    </row>
    <row r="94" spans="17:17" x14ac:dyDescent="0.3">
      <c r="Q94"/>
    </row>
    <row r="95" spans="17:17" x14ac:dyDescent="0.3">
      <c r="Q95"/>
    </row>
    <row r="96" spans="17:17" x14ac:dyDescent="0.3">
      <c r="Q96"/>
    </row>
    <row r="97" spans="17:17" x14ac:dyDescent="0.3">
      <c r="Q97"/>
    </row>
    <row r="98" spans="17:17" x14ac:dyDescent="0.3">
      <c r="Q98"/>
    </row>
    <row r="99" spans="17:17" x14ac:dyDescent="0.3">
      <c r="Q99"/>
    </row>
    <row r="100" spans="17:17" x14ac:dyDescent="0.3">
      <c r="Q100"/>
    </row>
    <row r="101" spans="17:17" x14ac:dyDescent="0.3">
      <c r="Q101"/>
    </row>
    <row r="102" spans="17:17" x14ac:dyDescent="0.3">
      <c r="Q102"/>
    </row>
    <row r="103" spans="17:17" x14ac:dyDescent="0.3">
      <c r="Q103"/>
    </row>
    <row r="104" spans="17:17" x14ac:dyDescent="0.3">
      <c r="Q104"/>
    </row>
    <row r="105" spans="17:17" x14ac:dyDescent="0.3">
      <c r="Q105"/>
    </row>
    <row r="106" spans="17:17" x14ac:dyDescent="0.3">
      <c r="Q106"/>
    </row>
    <row r="107" spans="17:17" x14ac:dyDescent="0.3">
      <c r="Q107"/>
    </row>
    <row r="108" spans="17:17" x14ac:dyDescent="0.3">
      <c r="Q108"/>
    </row>
    <row r="109" spans="17:17" x14ac:dyDescent="0.3">
      <c r="Q109"/>
    </row>
    <row r="110" spans="17:17" x14ac:dyDescent="0.3">
      <c r="Q110"/>
    </row>
    <row r="111" spans="17:17" x14ac:dyDescent="0.3">
      <c r="Q111"/>
    </row>
    <row r="112" spans="17:17" x14ac:dyDescent="0.3">
      <c r="Q112"/>
    </row>
    <row r="113" spans="17:17" x14ac:dyDescent="0.3">
      <c r="Q113"/>
    </row>
    <row r="114" spans="17:17" x14ac:dyDescent="0.3">
      <c r="Q114"/>
    </row>
    <row r="115" spans="17:17" x14ac:dyDescent="0.3">
      <c r="Q115"/>
    </row>
    <row r="116" spans="17:17" x14ac:dyDescent="0.3">
      <c r="Q116"/>
    </row>
    <row r="117" spans="17:17" x14ac:dyDescent="0.3">
      <c r="Q117"/>
    </row>
    <row r="118" spans="17:17" x14ac:dyDescent="0.3">
      <c r="Q118"/>
    </row>
    <row r="119" spans="17:17" x14ac:dyDescent="0.3">
      <c r="Q119"/>
    </row>
    <row r="120" spans="17:17" x14ac:dyDescent="0.3">
      <c r="Q120"/>
    </row>
  </sheetData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6E138-99DE-49FB-81DF-2812B32A818A}">
  <dimension ref="B1:P120"/>
  <sheetViews>
    <sheetView tabSelected="1" workbookViewId="0">
      <selection sqref="A1:P1"/>
    </sheetView>
  </sheetViews>
  <sheetFormatPr defaultRowHeight="14.4" x14ac:dyDescent="0.3"/>
  <cols>
    <col min="1" max="1" width="15.77734375" customWidth="1"/>
    <col min="2" max="2" width="40.77734375" style="1" customWidth="1"/>
    <col min="3" max="3" width="35.21875" style="1" customWidth="1"/>
    <col min="4" max="5" width="18.5546875" style="1" customWidth="1"/>
    <col min="6" max="7" width="18.5546875" style="6" customWidth="1"/>
    <col min="8" max="10" width="18.5546875" style="3" customWidth="1"/>
    <col min="11" max="11" width="18.5546875" style="1" customWidth="1"/>
    <col min="12" max="12" width="18.5546875" style="6" customWidth="1"/>
    <col min="13" max="13" width="18.5546875" style="1" customWidth="1"/>
    <col min="14" max="16" width="18.5546875" style="3" customWidth="1"/>
  </cols>
  <sheetData>
    <row r="1" spans="2:16" x14ac:dyDescent="0.3">
      <c r="B1"/>
      <c r="C1"/>
      <c r="D1"/>
    </row>
    <row r="2" spans="2:16" x14ac:dyDescent="0.3">
      <c r="B2"/>
      <c r="C2"/>
      <c r="D2"/>
    </row>
    <row r="3" spans="2:16" x14ac:dyDescent="0.3">
      <c r="B3"/>
      <c r="C3"/>
      <c r="D3"/>
    </row>
    <row r="4" spans="2:16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13" t="s">
        <v>22</v>
      </c>
      <c r="I4" s="13" t="s">
        <v>43</v>
      </c>
      <c r="J4" s="13" t="s">
        <v>44</v>
      </c>
      <c r="K4" s="9" t="s">
        <v>46</v>
      </c>
      <c r="L4" s="11" t="s">
        <v>48</v>
      </c>
      <c r="M4" s="9" t="s">
        <v>49</v>
      </c>
      <c r="N4" s="13" t="s">
        <v>47</v>
      </c>
      <c r="O4" s="13" t="s">
        <v>51</v>
      </c>
      <c r="P4" s="13" t="s">
        <v>50</v>
      </c>
    </row>
    <row r="5" spans="2:16" x14ac:dyDescent="0.3">
      <c r="B5" s="8" t="s">
        <v>85</v>
      </c>
      <c r="C5" s="8" t="s">
        <v>89</v>
      </c>
      <c r="D5" s="8" t="s">
        <v>6</v>
      </c>
      <c r="E5" s="10">
        <v>50209</v>
      </c>
      <c r="F5" s="12" t="s">
        <v>14</v>
      </c>
      <c r="G5" s="12" t="s">
        <v>18</v>
      </c>
      <c r="H5" s="14"/>
      <c r="I5" s="14"/>
      <c r="J5" s="14" t="s">
        <v>45</v>
      </c>
      <c r="K5" s="10"/>
      <c r="L5" s="12"/>
      <c r="M5" s="10"/>
      <c r="N5" s="14"/>
      <c r="O5" s="14"/>
      <c r="P5" s="14" t="s">
        <v>52</v>
      </c>
    </row>
    <row r="6" spans="2:16" x14ac:dyDescent="0.3">
      <c r="B6" s="8" t="s">
        <v>58</v>
      </c>
      <c r="C6" s="8" t="s">
        <v>57</v>
      </c>
      <c r="D6" s="8" t="s">
        <v>6</v>
      </c>
      <c r="E6" s="10">
        <v>182799</v>
      </c>
      <c r="F6" s="12"/>
      <c r="G6" s="12"/>
      <c r="H6" s="14"/>
      <c r="I6" s="14"/>
      <c r="J6" s="14"/>
      <c r="K6" s="10"/>
      <c r="L6" s="12"/>
      <c r="M6" s="10"/>
      <c r="N6" s="14"/>
      <c r="O6" s="14"/>
      <c r="P6" s="14"/>
    </row>
    <row r="7" spans="2:16" x14ac:dyDescent="0.3">
      <c r="B7" t="s">
        <v>112</v>
      </c>
      <c r="C7" t="s">
        <v>23</v>
      </c>
      <c r="D7" t="s">
        <v>20</v>
      </c>
      <c r="E7" s="1">
        <v>0</v>
      </c>
      <c r="F7" s="6">
        <f>IF($E$5=0,0,E7/$E$5)</f>
        <v>0</v>
      </c>
      <c r="G7" s="6">
        <f>ROUNDDOWN(F7*$E$6,0)</f>
        <v>0</v>
      </c>
      <c r="H7" s="3">
        <v>0</v>
      </c>
      <c r="I7" s="3">
        <f>IF(E7=0,0,H7/E7)</f>
        <v>0</v>
      </c>
      <c r="J7" s="3">
        <f>I7*G7</f>
        <v>0</v>
      </c>
      <c r="K7" s="1">
        <v>1</v>
      </c>
      <c r="L7" s="6">
        <f>IF($E$5=0,0,K7/$E$5)</f>
        <v>1.9916747993387641E-5</v>
      </c>
      <c r="M7" s="1">
        <f>ROUNDDOWN(L7*$E$6,0)</f>
        <v>3</v>
      </c>
      <c r="N7" s="3">
        <v>4000</v>
      </c>
      <c r="O7" s="3">
        <f>IF(K7=0,0,N7/K7)</f>
        <v>4000</v>
      </c>
      <c r="P7" s="3">
        <f>M7*O7</f>
        <v>12000</v>
      </c>
    </row>
    <row r="8" spans="2:16" x14ac:dyDescent="0.3">
      <c r="B8" t="s">
        <v>112</v>
      </c>
      <c r="C8" t="s">
        <v>21</v>
      </c>
      <c r="D8" t="s">
        <v>20</v>
      </c>
      <c r="E8" s="1">
        <v>0</v>
      </c>
      <c r="F8" s="6">
        <f>IF($E$5=0,0,E8/$E$5)</f>
        <v>0</v>
      </c>
      <c r="G8" s="6">
        <f>ROUNDDOWN(F8*$E$6,0)</f>
        <v>0</v>
      </c>
      <c r="H8" s="3">
        <v>0</v>
      </c>
      <c r="I8" s="3">
        <f>IF(E8=0,0,H8/E8)</f>
        <v>0</v>
      </c>
      <c r="J8" s="3">
        <f>I8*G8</f>
        <v>0</v>
      </c>
      <c r="K8" s="1">
        <v>0</v>
      </c>
      <c r="L8" s="6">
        <f>IF($E$5=0,0,K8/$E$5)</f>
        <v>0</v>
      </c>
      <c r="M8" s="1">
        <f>ROUNDDOWN(L8*$E$6,0)</f>
        <v>0</v>
      </c>
      <c r="N8" s="3">
        <v>0</v>
      </c>
      <c r="O8" s="3">
        <f>IF(K8=0,0,N8/K8)</f>
        <v>0</v>
      </c>
      <c r="P8" s="3">
        <f>M8*O8</f>
        <v>0</v>
      </c>
    </row>
    <row r="9" spans="2:16" x14ac:dyDescent="0.3">
      <c r="B9" t="s">
        <v>112</v>
      </c>
      <c r="C9" t="s">
        <v>24</v>
      </c>
      <c r="D9" t="s">
        <v>20</v>
      </c>
      <c r="E9" s="1">
        <v>0</v>
      </c>
      <c r="F9" s="6">
        <f>IF($E$5=0,0,E9/$E$5)</f>
        <v>0</v>
      </c>
      <c r="G9" s="6">
        <f>ROUNDDOWN(F9*$E$6,0)</f>
        <v>0</v>
      </c>
      <c r="H9" s="3">
        <v>0</v>
      </c>
      <c r="I9" s="3">
        <f>IF(E9=0,0,H9/E9)</f>
        <v>0</v>
      </c>
      <c r="J9" s="3">
        <f>I9*G9</f>
        <v>0</v>
      </c>
      <c r="K9" s="1">
        <v>0</v>
      </c>
      <c r="L9" s="6">
        <f>IF($E$5=0,0,K9/$E$5)</f>
        <v>0</v>
      </c>
      <c r="M9" s="1">
        <f>ROUNDDOWN(L9*$E$6,0)</f>
        <v>0</v>
      </c>
      <c r="N9" s="3">
        <v>0</v>
      </c>
      <c r="O9" s="3">
        <f>IF(K9=0,0,N9/K9)</f>
        <v>0</v>
      </c>
      <c r="P9" s="3">
        <f>M9*O9</f>
        <v>0</v>
      </c>
    </row>
    <row r="10" spans="2:16" x14ac:dyDescent="0.3">
      <c r="B10" t="s">
        <v>112</v>
      </c>
      <c r="C10" t="s">
        <v>25</v>
      </c>
      <c r="D10" t="s">
        <v>20</v>
      </c>
      <c r="E10" s="1">
        <v>0</v>
      </c>
      <c r="F10" s="6">
        <f>IF($E$5=0,0,E10/$E$5)</f>
        <v>0</v>
      </c>
      <c r="G10" s="6">
        <f>ROUNDDOWN(F10*$E$6,0)</f>
        <v>0</v>
      </c>
      <c r="H10" s="3">
        <v>0</v>
      </c>
      <c r="I10" s="3">
        <f>IF(E10=0,0,H10/E10)</f>
        <v>0</v>
      </c>
      <c r="J10" s="3">
        <f>I10*G10</f>
        <v>0</v>
      </c>
      <c r="K10" s="1">
        <v>0</v>
      </c>
      <c r="L10" s="6">
        <f>IF($E$5=0,0,K10/$E$5)</f>
        <v>0</v>
      </c>
      <c r="M10" s="1">
        <f>ROUNDDOWN(L10*$E$6,0)</f>
        <v>0</v>
      </c>
      <c r="N10" s="3">
        <v>0</v>
      </c>
      <c r="O10" s="3">
        <f>IF(K10=0,0,N10/K10)</f>
        <v>0</v>
      </c>
      <c r="P10" s="3">
        <f>M10*O10</f>
        <v>0</v>
      </c>
    </row>
    <row r="11" spans="2:16" x14ac:dyDescent="0.3">
      <c r="B11" t="s">
        <v>112</v>
      </c>
      <c r="C11" t="s">
        <v>82</v>
      </c>
      <c r="D11" t="s">
        <v>20</v>
      </c>
      <c r="E11" s="1">
        <v>2</v>
      </c>
      <c r="F11" s="6">
        <f>IF($E$5=0,0,E11/$E$5)</f>
        <v>3.9833495986775281E-5</v>
      </c>
      <c r="G11" s="6">
        <f>ROUNDDOWN(F11*$E$6,0)</f>
        <v>7</v>
      </c>
      <c r="H11" s="3">
        <v>15088</v>
      </c>
      <c r="I11" s="3">
        <f>IF(E11=0,0,H11/E11)</f>
        <v>7544</v>
      </c>
      <c r="J11" s="3">
        <f>I11*G11</f>
        <v>52808</v>
      </c>
      <c r="K11" s="1">
        <v>3</v>
      </c>
      <c r="L11" s="6">
        <f>IF($E$5=0,0,K11/$E$5)</f>
        <v>5.9750243980162918E-5</v>
      </c>
      <c r="M11" s="1">
        <f>ROUNDDOWN(L11*$E$6,0)</f>
        <v>10</v>
      </c>
      <c r="N11" s="3">
        <v>8100</v>
      </c>
      <c r="O11" s="3">
        <f>IF(K11=0,0,N11/K11)</f>
        <v>2700</v>
      </c>
      <c r="P11" s="3">
        <f>M11*O11</f>
        <v>27000</v>
      </c>
    </row>
    <row r="12" spans="2:16" x14ac:dyDescent="0.3">
      <c r="B12" t="s">
        <v>112</v>
      </c>
      <c r="C12" t="s">
        <v>3</v>
      </c>
      <c r="D12" t="s">
        <v>20</v>
      </c>
      <c r="E12" s="1">
        <v>0</v>
      </c>
      <c r="F12" s="6">
        <f>IF($E$5=0,0,E12/$E$5)</f>
        <v>0</v>
      </c>
      <c r="G12" s="6">
        <f>ROUNDDOWN(F12*$E$6,0)</f>
        <v>0</v>
      </c>
      <c r="H12" s="3">
        <v>0</v>
      </c>
      <c r="I12" s="3">
        <f>IF(E12=0,0,H12/E12)</f>
        <v>0</v>
      </c>
      <c r="J12" s="3">
        <f>I12*G12</f>
        <v>0</v>
      </c>
      <c r="K12" s="1">
        <v>0</v>
      </c>
      <c r="L12" s="6">
        <f>IF($E$5=0,0,K12/$E$5)</f>
        <v>0</v>
      </c>
      <c r="M12" s="1">
        <f>ROUNDDOWN(L12*$E$6,0)</f>
        <v>0</v>
      </c>
      <c r="N12" s="3">
        <v>0</v>
      </c>
      <c r="O12" s="3">
        <f>IF(K12=0,0,N12/K12)</f>
        <v>0</v>
      </c>
      <c r="P12" s="3">
        <f>M12*O12</f>
        <v>0</v>
      </c>
    </row>
    <row r="13" spans="2:16" x14ac:dyDescent="0.3">
      <c r="B13" t="s">
        <v>112</v>
      </c>
      <c r="C13" t="s">
        <v>4</v>
      </c>
      <c r="D13" t="s">
        <v>20</v>
      </c>
      <c r="E13" s="1">
        <v>0</v>
      </c>
      <c r="F13" s="6">
        <f>IF($E$5=0,0,E13/$E$5)</f>
        <v>0</v>
      </c>
      <c r="G13" s="6">
        <f>ROUNDDOWN(F13*$E$6,0)</f>
        <v>0</v>
      </c>
      <c r="H13" s="3">
        <v>0</v>
      </c>
      <c r="I13" s="3">
        <f>IF(E13=0,0,H13/E13)</f>
        <v>0</v>
      </c>
      <c r="J13" s="3">
        <f>I13*G13</f>
        <v>0</v>
      </c>
      <c r="K13" s="1">
        <v>0</v>
      </c>
      <c r="L13" s="6">
        <f>IF($E$5=0,0,K13/$E$5)</f>
        <v>0</v>
      </c>
      <c r="M13" s="1">
        <f>ROUNDDOWN(L13*$E$6,0)</f>
        <v>0</v>
      </c>
      <c r="N13" s="3">
        <v>0</v>
      </c>
      <c r="O13" s="3">
        <f>IF(K13=0,0,N13/K13)</f>
        <v>0</v>
      </c>
      <c r="P13" s="3">
        <f>M13*O13</f>
        <v>0</v>
      </c>
    </row>
    <row r="14" spans="2:16" x14ac:dyDescent="0.3">
      <c r="B14" t="s">
        <v>112</v>
      </c>
      <c r="C14" t="s">
        <v>27</v>
      </c>
      <c r="D14" t="s">
        <v>20</v>
      </c>
      <c r="E14" s="1">
        <v>0</v>
      </c>
      <c r="F14" s="6">
        <f>IF($E$5=0,0,E14/$E$5)</f>
        <v>0</v>
      </c>
      <c r="G14" s="6">
        <f>ROUNDDOWN(F14*$E$6,0)</f>
        <v>0</v>
      </c>
      <c r="H14" s="3">
        <v>0</v>
      </c>
      <c r="I14" s="3">
        <f>IF(E14=0,0,H14/E14)</f>
        <v>0</v>
      </c>
      <c r="J14" s="3">
        <f>I14*G14</f>
        <v>0</v>
      </c>
      <c r="K14" s="1">
        <v>0</v>
      </c>
      <c r="L14" s="6">
        <f>IF($E$5=0,0,K14/$E$5)</f>
        <v>0</v>
      </c>
      <c r="M14" s="1">
        <f>ROUNDDOWN(L14*$E$6,0)</f>
        <v>0</v>
      </c>
      <c r="N14" s="3">
        <v>0</v>
      </c>
      <c r="O14" s="3">
        <f>IF(K14=0,0,N14/K14)</f>
        <v>0</v>
      </c>
      <c r="P14" s="3">
        <f>M14*O14</f>
        <v>0</v>
      </c>
    </row>
    <row r="15" spans="2:16" x14ac:dyDescent="0.3">
      <c r="B15" t="s">
        <v>112</v>
      </c>
      <c r="C15" t="s">
        <v>7</v>
      </c>
      <c r="D15" t="s">
        <v>20</v>
      </c>
      <c r="E15" s="1">
        <v>2</v>
      </c>
      <c r="F15" s="6">
        <f>IF($E$5=0,0,E15/$E$5)</f>
        <v>3.9833495986775281E-5</v>
      </c>
      <c r="G15" s="6">
        <f>ROUNDDOWN(F15*$E$6,0)</f>
        <v>7</v>
      </c>
      <c r="H15" s="3">
        <v>100</v>
      </c>
      <c r="I15" s="3">
        <f>IF(E15=0,0,H15/E15)</f>
        <v>50</v>
      </c>
      <c r="J15" s="3">
        <f>I15*G15</f>
        <v>350</v>
      </c>
      <c r="K15" s="1">
        <v>0</v>
      </c>
      <c r="L15" s="6">
        <f>IF($E$5=0,0,K15/$E$5)</f>
        <v>0</v>
      </c>
      <c r="M15" s="1">
        <f>ROUNDDOWN(L15*$E$6,0)</f>
        <v>0</v>
      </c>
      <c r="N15" s="3">
        <v>0</v>
      </c>
      <c r="O15" s="3">
        <f>IF(K15=0,0,N15/K15)</f>
        <v>0</v>
      </c>
      <c r="P15" s="3">
        <f>M15*O15</f>
        <v>0</v>
      </c>
    </row>
    <row r="16" spans="2:16" x14ac:dyDescent="0.3">
      <c r="B16" t="s">
        <v>112</v>
      </c>
      <c r="C16" t="s">
        <v>28</v>
      </c>
      <c r="D16" t="s">
        <v>20</v>
      </c>
      <c r="E16" s="1">
        <v>0</v>
      </c>
      <c r="F16" s="6">
        <f>IF($E$5=0,0,E16/$E$5)</f>
        <v>0</v>
      </c>
      <c r="G16" s="6">
        <f>ROUNDDOWN(F16*$E$6,0)</f>
        <v>0</v>
      </c>
      <c r="H16" s="3">
        <v>0</v>
      </c>
      <c r="I16" s="3">
        <f>IF(E16=0,0,H16/E16)</f>
        <v>0</v>
      </c>
      <c r="J16" s="3">
        <f>I16*G16</f>
        <v>0</v>
      </c>
      <c r="K16" s="1">
        <v>0</v>
      </c>
      <c r="L16" s="6">
        <f>IF($E$5=0,0,K16/$E$5)</f>
        <v>0</v>
      </c>
      <c r="M16" s="1">
        <f>ROUNDDOWN(L16*$E$6,0)</f>
        <v>0</v>
      </c>
      <c r="N16" s="3">
        <v>0</v>
      </c>
      <c r="O16" s="3">
        <f>IF(K16=0,0,N16/K16)</f>
        <v>0</v>
      </c>
      <c r="P16" s="3">
        <f>M16*O16</f>
        <v>0</v>
      </c>
    </row>
    <row r="17" spans="2:16" x14ac:dyDescent="0.3">
      <c r="B17" t="s">
        <v>112</v>
      </c>
      <c r="C17" t="s">
        <v>29</v>
      </c>
      <c r="D17" t="s">
        <v>20</v>
      </c>
      <c r="E17" s="1">
        <v>0</v>
      </c>
      <c r="F17" s="6">
        <f>IF($E$5=0,0,E17/$E$5)</f>
        <v>0</v>
      </c>
      <c r="G17" s="6">
        <f>ROUNDDOWN(F17*$E$6,0)</f>
        <v>0</v>
      </c>
      <c r="H17" s="3">
        <v>0</v>
      </c>
      <c r="I17" s="3">
        <f>IF(E17=0,0,H17/E17)</f>
        <v>0</v>
      </c>
      <c r="J17" s="3">
        <f>I17*G17</f>
        <v>0</v>
      </c>
      <c r="K17" s="1">
        <v>0</v>
      </c>
      <c r="L17" s="6">
        <f>IF($E$5=0,0,K17/$E$5)</f>
        <v>0</v>
      </c>
      <c r="M17" s="1">
        <f>ROUNDDOWN(L17*$E$6,0)</f>
        <v>0</v>
      </c>
      <c r="N17" s="3">
        <v>0</v>
      </c>
      <c r="O17" s="3">
        <f>IF(K17=0,0,N17/K17)</f>
        <v>0</v>
      </c>
      <c r="P17" s="3">
        <f>M17*O17</f>
        <v>0</v>
      </c>
    </row>
    <row r="18" spans="2:16" x14ac:dyDescent="0.3">
      <c r="B18" t="s">
        <v>112</v>
      </c>
      <c r="C18" t="s">
        <v>30</v>
      </c>
      <c r="D18" t="s">
        <v>20</v>
      </c>
      <c r="E18" s="1">
        <v>0</v>
      </c>
      <c r="F18" s="6">
        <f>IF($E$5=0,0,E18/$E$5)</f>
        <v>0</v>
      </c>
      <c r="G18" s="6">
        <f>ROUNDDOWN(F18*$E$6,0)</f>
        <v>0</v>
      </c>
      <c r="H18" s="3">
        <v>0</v>
      </c>
      <c r="I18" s="3">
        <f>IF(E18=0,0,H18/E18)</f>
        <v>0</v>
      </c>
      <c r="J18" s="3">
        <f>I18*G18</f>
        <v>0</v>
      </c>
      <c r="K18" s="1">
        <v>0</v>
      </c>
      <c r="L18" s="6">
        <f>IF($E$5=0,0,K18/$E$5)</f>
        <v>0</v>
      </c>
      <c r="M18" s="1">
        <f>ROUNDDOWN(L18*$E$6,0)</f>
        <v>0</v>
      </c>
      <c r="N18" s="3">
        <v>0</v>
      </c>
      <c r="O18" s="3">
        <f>IF(K18=0,0,N18/K18)</f>
        <v>0</v>
      </c>
      <c r="P18" s="3">
        <f>M18*O18</f>
        <v>0</v>
      </c>
    </row>
    <row r="19" spans="2:16" x14ac:dyDescent="0.3">
      <c r="B19" t="s">
        <v>112</v>
      </c>
      <c r="C19" t="s">
        <v>31</v>
      </c>
      <c r="D19" t="s">
        <v>20</v>
      </c>
      <c r="E19" s="1">
        <v>1</v>
      </c>
      <c r="F19" s="6">
        <f>IF($E$5=0,0,E19/$E$5)</f>
        <v>1.9916747993387641E-5</v>
      </c>
      <c r="G19" s="6">
        <f>ROUNDDOWN(F19*$E$6,0)</f>
        <v>3</v>
      </c>
      <c r="H19" s="3">
        <v>0</v>
      </c>
      <c r="I19" s="3">
        <f>IF(E19=0,0,H19/E19)</f>
        <v>0</v>
      </c>
      <c r="J19" s="3">
        <f>I19*G19</f>
        <v>0</v>
      </c>
      <c r="K19" s="1">
        <v>1</v>
      </c>
      <c r="L19" s="6">
        <f>IF($E$5=0,0,K19/$E$5)</f>
        <v>1.9916747993387641E-5</v>
      </c>
      <c r="M19" s="1">
        <f>ROUNDDOWN(L19*$E$6,0)</f>
        <v>3</v>
      </c>
      <c r="N19" s="3">
        <v>7000</v>
      </c>
      <c r="O19" s="3">
        <f>IF(K19=0,0,N19/K19)</f>
        <v>7000</v>
      </c>
      <c r="P19" s="3">
        <f>M19*O19</f>
        <v>21000</v>
      </c>
    </row>
    <row r="20" spans="2:16" x14ac:dyDescent="0.3">
      <c r="B20" t="s">
        <v>112</v>
      </c>
      <c r="C20" t="s">
        <v>32</v>
      </c>
      <c r="D20" t="s">
        <v>20</v>
      </c>
      <c r="E20" s="1">
        <v>0</v>
      </c>
      <c r="F20" s="6">
        <f>IF($E$5=0,0,E20/$E$5)</f>
        <v>0</v>
      </c>
      <c r="G20" s="6">
        <f>ROUNDDOWN(F20*$E$6,0)</f>
        <v>0</v>
      </c>
      <c r="H20" s="3">
        <v>0</v>
      </c>
      <c r="I20" s="3">
        <f>IF(E20=0,0,H20/E20)</f>
        <v>0</v>
      </c>
      <c r="J20" s="3">
        <f>I20*G20</f>
        <v>0</v>
      </c>
      <c r="K20" s="1">
        <v>0</v>
      </c>
      <c r="L20" s="6">
        <f>IF($E$5=0,0,K20/$E$5)</f>
        <v>0</v>
      </c>
      <c r="M20" s="1">
        <f>ROUNDDOWN(L20*$E$6,0)</f>
        <v>0</v>
      </c>
      <c r="N20" s="3">
        <v>0</v>
      </c>
      <c r="O20" s="3">
        <f>IF(K20=0,0,N20/K20)</f>
        <v>0</v>
      </c>
      <c r="P20" s="3">
        <f>M20*O20</f>
        <v>0</v>
      </c>
    </row>
    <row r="21" spans="2:16" x14ac:dyDescent="0.3">
      <c r="B21" t="s">
        <v>112</v>
      </c>
      <c r="C21" t="s">
        <v>33</v>
      </c>
      <c r="D21" t="s">
        <v>20</v>
      </c>
      <c r="E21" s="1">
        <v>0</v>
      </c>
      <c r="F21" s="6">
        <f>IF($E$5=0,0,E21/$E$5)</f>
        <v>0</v>
      </c>
      <c r="G21" s="6">
        <f>ROUNDDOWN(F21*$E$6,0)</f>
        <v>0</v>
      </c>
      <c r="H21" s="3">
        <v>0</v>
      </c>
      <c r="I21" s="3">
        <f>IF(E21=0,0,H21/E21)</f>
        <v>0</v>
      </c>
      <c r="J21" s="3">
        <f>I21*G21</f>
        <v>0</v>
      </c>
      <c r="K21" s="1">
        <v>0</v>
      </c>
      <c r="L21" s="6">
        <f>IF($E$5=0,0,K21/$E$5)</f>
        <v>0</v>
      </c>
      <c r="M21" s="1">
        <f>ROUNDDOWN(L21*$E$6,0)</f>
        <v>0</v>
      </c>
      <c r="N21" s="3">
        <v>0</v>
      </c>
      <c r="O21" s="3">
        <f>IF(K21=0,0,N21/K21)</f>
        <v>0</v>
      </c>
      <c r="P21" s="3">
        <f>M21*O21</f>
        <v>0</v>
      </c>
    </row>
    <row r="22" spans="2:16" x14ac:dyDescent="0.3">
      <c r="B22" t="s">
        <v>112</v>
      </c>
      <c r="C22" t="s">
        <v>8</v>
      </c>
      <c r="D22" t="s">
        <v>20</v>
      </c>
      <c r="E22" s="1">
        <v>0</v>
      </c>
      <c r="F22" s="6">
        <f>IF($E$5=0,0,E22/$E$5)</f>
        <v>0</v>
      </c>
      <c r="G22" s="6">
        <f>ROUNDDOWN(F22*$E$6,0)</f>
        <v>0</v>
      </c>
      <c r="H22" s="3">
        <v>0</v>
      </c>
      <c r="I22" s="3">
        <f>IF(E22=0,0,H22/E22)</f>
        <v>0</v>
      </c>
      <c r="J22" s="3">
        <f>I22*G22</f>
        <v>0</v>
      </c>
      <c r="K22" s="1">
        <v>0</v>
      </c>
      <c r="L22" s="6">
        <f>IF($E$5=0,0,K22/$E$5)</f>
        <v>0</v>
      </c>
      <c r="M22" s="1">
        <f>ROUNDDOWN(L22*$E$6,0)</f>
        <v>0</v>
      </c>
      <c r="N22" s="3">
        <v>0</v>
      </c>
      <c r="O22" s="3">
        <f>IF(K22=0,0,N22/K22)</f>
        <v>0</v>
      </c>
      <c r="P22" s="3">
        <f>M22*O22</f>
        <v>0</v>
      </c>
    </row>
    <row r="23" spans="2:16" x14ac:dyDescent="0.3">
      <c r="B23" t="s">
        <v>112</v>
      </c>
      <c r="C23" t="s">
        <v>34</v>
      </c>
      <c r="D23" t="s">
        <v>20</v>
      </c>
      <c r="E23" s="1">
        <v>0</v>
      </c>
      <c r="F23" s="6">
        <f>IF($E$5=0,0,E23/$E$5)</f>
        <v>0</v>
      </c>
      <c r="G23" s="6">
        <f>ROUNDDOWN(F23*$E$6,0)</f>
        <v>0</v>
      </c>
      <c r="H23" s="3">
        <v>0</v>
      </c>
      <c r="I23" s="3">
        <f>IF(E23=0,0,H23/E23)</f>
        <v>0</v>
      </c>
      <c r="J23" s="3">
        <f>I23*G23</f>
        <v>0</v>
      </c>
      <c r="K23" s="1">
        <v>0</v>
      </c>
      <c r="L23" s="6">
        <f>IF($E$5=0,0,K23/$E$5)</f>
        <v>0</v>
      </c>
      <c r="M23" s="1">
        <f>ROUNDDOWN(L23*$E$6,0)</f>
        <v>0</v>
      </c>
      <c r="N23" s="3">
        <v>0</v>
      </c>
      <c r="O23" s="3">
        <f>IF(K23=0,0,N23/K23)</f>
        <v>0</v>
      </c>
      <c r="P23" s="3">
        <f>M23*O23</f>
        <v>0</v>
      </c>
    </row>
    <row r="24" spans="2:16" x14ac:dyDescent="0.3">
      <c r="B24" t="s">
        <v>112</v>
      </c>
      <c r="C24" t="s">
        <v>35</v>
      </c>
      <c r="D24" t="s">
        <v>20</v>
      </c>
      <c r="E24" s="1">
        <v>0</v>
      </c>
      <c r="F24" s="6">
        <f>IF($E$5=0,0,E24/$E$5)</f>
        <v>0</v>
      </c>
      <c r="G24" s="6">
        <f>ROUNDDOWN(F24*$E$6,0)</f>
        <v>0</v>
      </c>
      <c r="H24" s="3">
        <v>0</v>
      </c>
      <c r="I24" s="3">
        <f>IF(E24=0,0,H24/E24)</f>
        <v>0</v>
      </c>
      <c r="J24" s="3">
        <f>I24*G24</f>
        <v>0</v>
      </c>
      <c r="K24" s="1">
        <v>0</v>
      </c>
      <c r="L24" s="6">
        <f>IF($E$5=0,0,K24/$E$5)</f>
        <v>0</v>
      </c>
      <c r="M24" s="1">
        <f>ROUNDDOWN(L24*$E$6,0)</f>
        <v>0</v>
      </c>
      <c r="N24" s="3">
        <v>0</v>
      </c>
      <c r="O24" s="3">
        <f>IF(K24=0,0,N24/K24)</f>
        <v>0</v>
      </c>
      <c r="P24" s="3">
        <f>M24*O24</f>
        <v>0</v>
      </c>
    </row>
    <row r="25" spans="2:16" x14ac:dyDescent="0.3">
      <c r="B25" t="s">
        <v>112</v>
      </c>
      <c r="C25" t="s">
        <v>36</v>
      </c>
      <c r="D25" t="s">
        <v>20</v>
      </c>
      <c r="E25" s="1">
        <v>6</v>
      </c>
      <c r="F25" s="6">
        <f>IF($E$5=0,0,E25/$E$5)</f>
        <v>1.1950048796032584E-4</v>
      </c>
      <c r="G25" s="6">
        <f>ROUNDDOWN(F25*$E$6,0)</f>
        <v>21</v>
      </c>
      <c r="H25" s="3">
        <v>0</v>
      </c>
      <c r="I25" s="3">
        <f>IF(E25=0,0,H25/E25)</f>
        <v>0</v>
      </c>
      <c r="J25" s="3">
        <f>I25*G25</f>
        <v>0</v>
      </c>
      <c r="K25" s="1">
        <v>1</v>
      </c>
      <c r="L25" s="6">
        <f>IF($E$5=0,0,K25/$E$5)</f>
        <v>1.9916747993387641E-5</v>
      </c>
      <c r="M25" s="1">
        <f>ROUNDDOWN(L25*$E$6,0)</f>
        <v>3</v>
      </c>
      <c r="N25" s="3">
        <v>0</v>
      </c>
      <c r="O25" s="3">
        <f>IF(K25=0,0,N25/K25)</f>
        <v>0</v>
      </c>
      <c r="P25" s="3">
        <f>M25*O25</f>
        <v>0</v>
      </c>
    </row>
    <row r="26" spans="2:16" x14ac:dyDescent="0.3">
      <c r="B26" t="s">
        <v>112</v>
      </c>
      <c r="C26" t="s">
        <v>37</v>
      </c>
      <c r="D26" t="s">
        <v>20</v>
      </c>
      <c r="E26" s="1">
        <v>2</v>
      </c>
      <c r="F26" s="6">
        <f>IF($E$5=0,0,E26/$E$5)</f>
        <v>3.9833495986775281E-5</v>
      </c>
      <c r="G26" s="6">
        <f>ROUNDDOWN(F26*$E$6,0)</f>
        <v>7</v>
      </c>
      <c r="H26" s="3">
        <v>250</v>
      </c>
      <c r="I26" s="3">
        <f>IF(E26=0,0,H26/E26)</f>
        <v>125</v>
      </c>
      <c r="J26" s="3">
        <f>I26*G26</f>
        <v>875</v>
      </c>
      <c r="K26" s="1">
        <v>0</v>
      </c>
      <c r="L26" s="6">
        <f>IF($E$5=0,0,K26/$E$5)</f>
        <v>0</v>
      </c>
      <c r="M26" s="1">
        <f>ROUNDDOWN(L26*$E$6,0)</f>
        <v>0</v>
      </c>
      <c r="N26" s="3">
        <v>0</v>
      </c>
      <c r="O26" s="3">
        <f>IF(K26=0,0,N26/K26)</f>
        <v>0</v>
      </c>
      <c r="P26" s="3">
        <f>M26*O26</f>
        <v>0</v>
      </c>
    </row>
    <row r="27" spans="2:16" x14ac:dyDescent="0.3">
      <c r="B27" t="s">
        <v>112</v>
      </c>
      <c r="C27" t="s">
        <v>38</v>
      </c>
      <c r="D27" t="s">
        <v>20</v>
      </c>
      <c r="E27" s="1">
        <v>1</v>
      </c>
      <c r="F27" s="6">
        <f>IF($E$5=0,0,E27/$E$5)</f>
        <v>1.9916747993387641E-5</v>
      </c>
      <c r="G27" s="6">
        <f>ROUNDDOWN(F27*$E$6,0)</f>
        <v>3</v>
      </c>
      <c r="H27" s="3">
        <v>0</v>
      </c>
      <c r="I27" s="3">
        <f>IF(E27=0,0,H27/E27)</f>
        <v>0</v>
      </c>
      <c r="J27" s="3">
        <f>I27*G27</f>
        <v>0</v>
      </c>
      <c r="K27" s="1">
        <v>0</v>
      </c>
      <c r="L27" s="6">
        <f>IF($E$5=0,0,K27/$E$5)</f>
        <v>0</v>
      </c>
      <c r="M27" s="1">
        <f>ROUNDDOWN(L27*$E$6,0)</f>
        <v>0</v>
      </c>
      <c r="N27" s="3">
        <v>0</v>
      </c>
      <c r="O27" s="3">
        <f>IF(K27=0,0,N27/K27)</f>
        <v>0</v>
      </c>
      <c r="P27" s="3">
        <f>M27*O27</f>
        <v>0</v>
      </c>
    </row>
    <row r="28" spans="2:16" x14ac:dyDescent="0.3">
      <c r="B28" t="s">
        <v>112</v>
      </c>
      <c r="C28" t="s">
        <v>39</v>
      </c>
      <c r="D28" t="s">
        <v>20</v>
      </c>
      <c r="E28" s="1">
        <v>0</v>
      </c>
      <c r="F28" s="6">
        <f>IF($E$5=0,0,E28/$E$5)</f>
        <v>0</v>
      </c>
      <c r="G28" s="6">
        <f>ROUNDDOWN(F28*$E$6,0)</f>
        <v>0</v>
      </c>
      <c r="H28" s="3">
        <v>0</v>
      </c>
      <c r="I28" s="3">
        <f>IF(E28=0,0,H28/E28)</f>
        <v>0</v>
      </c>
      <c r="J28" s="3">
        <f>I28*G28</f>
        <v>0</v>
      </c>
      <c r="K28" s="1">
        <v>0</v>
      </c>
      <c r="L28" s="6">
        <f>IF($E$5=0,0,K28/$E$5)</f>
        <v>0</v>
      </c>
      <c r="M28" s="1">
        <f>ROUNDDOWN(L28*$E$6,0)</f>
        <v>0</v>
      </c>
      <c r="N28" s="3">
        <v>0</v>
      </c>
      <c r="O28" s="3">
        <f>IF(K28=0,0,N28/K28)</f>
        <v>0</v>
      </c>
      <c r="P28" s="3">
        <f>M28*O28</f>
        <v>0</v>
      </c>
    </row>
    <row r="29" spans="2:16" x14ac:dyDescent="0.3">
      <c r="B29" t="s">
        <v>112</v>
      </c>
      <c r="C29" t="s">
        <v>9</v>
      </c>
      <c r="D29" t="s">
        <v>20</v>
      </c>
      <c r="E29" s="1">
        <v>2</v>
      </c>
      <c r="F29" s="6">
        <f>IF($E$5=0,0,E29/$E$5)</f>
        <v>3.9833495986775281E-5</v>
      </c>
      <c r="G29" s="6">
        <f>ROUNDDOWN(F29*$E$6,0)</f>
        <v>7</v>
      </c>
      <c r="H29" s="3">
        <v>541</v>
      </c>
      <c r="I29" s="3">
        <f>IF(E29=0,0,H29/E29)</f>
        <v>270.5</v>
      </c>
      <c r="J29" s="3">
        <f>I29*G29</f>
        <v>1893.5</v>
      </c>
      <c r="K29" s="1">
        <v>1</v>
      </c>
      <c r="L29" s="6">
        <f>IF($E$5=0,0,K29/$E$5)</f>
        <v>1.9916747993387641E-5</v>
      </c>
      <c r="M29" s="1">
        <f>ROUNDDOWN(L29*$E$6,0)</f>
        <v>3</v>
      </c>
      <c r="N29" s="3">
        <v>1100</v>
      </c>
      <c r="O29" s="3">
        <f>IF(K29=0,0,N29/K29)</f>
        <v>1100</v>
      </c>
      <c r="P29" s="3">
        <f>M29*O29</f>
        <v>3300</v>
      </c>
    </row>
    <row r="30" spans="2:16" x14ac:dyDescent="0.3">
      <c r="B30" t="s">
        <v>112</v>
      </c>
      <c r="C30" t="s">
        <v>10</v>
      </c>
      <c r="D30" t="s">
        <v>20</v>
      </c>
      <c r="E30" s="1">
        <v>1</v>
      </c>
      <c r="F30" s="6">
        <f>IF($E$5=0,0,E30/$E$5)</f>
        <v>1.9916747993387641E-5</v>
      </c>
      <c r="G30" s="6">
        <f>ROUNDDOWN(F30*$E$6,0)</f>
        <v>3</v>
      </c>
      <c r="H30" s="3">
        <v>0</v>
      </c>
      <c r="I30" s="3">
        <f>IF(E30=0,0,H30/E30)</f>
        <v>0</v>
      </c>
      <c r="J30" s="3">
        <f>I30*G30</f>
        <v>0</v>
      </c>
      <c r="K30" s="1">
        <v>0</v>
      </c>
      <c r="L30" s="6">
        <f>IF($E$5=0,0,K30/$E$5)</f>
        <v>0</v>
      </c>
      <c r="M30" s="1">
        <f>ROUNDDOWN(L30*$E$6,0)</f>
        <v>0</v>
      </c>
      <c r="N30" s="3">
        <v>0</v>
      </c>
      <c r="O30" s="3">
        <f>IF(K30=0,0,N30/K30)</f>
        <v>0</v>
      </c>
      <c r="P30" s="3">
        <f>M30*O30</f>
        <v>0</v>
      </c>
    </row>
    <row r="31" spans="2:16" x14ac:dyDescent="0.3">
      <c r="B31" t="s">
        <v>112</v>
      </c>
      <c r="C31" t="s">
        <v>11</v>
      </c>
      <c r="D31" t="s">
        <v>20</v>
      </c>
      <c r="E31" s="1">
        <v>0</v>
      </c>
      <c r="F31" s="6">
        <f>IF($E$5=0,0,E31/$E$5)</f>
        <v>0</v>
      </c>
      <c r="G31" s="6">
        <f>ROUNDDOWN(F31*$E$6,0)</f>
        <v>0</v>
      </c>
      <c r="H31" s="3">
        <v>0</v>
      </c>
      <c r="I31" s="3">
        <f>IF(E31=0,0,H31/E31)</f>
        <v>0</v>
      </c>
      <c r="J31" s="3">
        <f>I31*G31</f>
        <v>0</v>
      </c>
      <c r="K31" s="1">
        <v>1</v>
      </c>
      <c r="L31" s="6">
        <f>IF($E$5=0,0,K31/$E$5)</f>
        <v>1.9916747993387641E-5</v>
      </c>
      <c r="M31" s="1">
        <f>ROUNDDOWN(L31*$E$6,0)</f>
        <v>3</v>
      </c>
      <c r="N31" s="3">
        <v>0</v>
      </c>
      <c r="O31" s="3">
        <f>IF(K31=0,0,N31/K31)</f>
        <v>0</v>
      </c>
      <c r="P31" s="3">
        <f>M31*O31</f>
        <v>0</v>
      </c>
    </row>
    <row r="32" spans="2:16" x14ac:dyDescent="0.3">
      <c r="B32" t="s">
        <v>112</v>
      </c>
      <c r="C32" t="s">
        <v>40</v>
      </c>
      <c r="D32" t="s">
        <v>20</v>
      </c>
      <c r="E32" s="1">
        <v>0</v>
      </c>
      <c r="F32" s="6">
        <f>IF($E$5=0,0,E32/$E$5)</f>
        <v>0</v>
      </c>
      <c r="G32" s="6">
        <f>ROUNDDOWN(F32*$E$6,0)</f>
        <v>0</v>
      </c>
      <c r="H32" s="3">
        <v>0</v>
      </c>
      <c r="I32" s="3">
        <f>IF(E32=0,0,H32/E32)</f>
        <v>0</v>
      </c>
      <c r="J32" s="3">
        <f>I32*G32</f>
        <v>0</v>
      </c>
      <c r="K32" s="1">
        <v>0</v>
      </c>
      <c r="L32" s="6">
        <f>IF($E$5=0,0,K32/$E$5)</f>
        <v>0</v>
      </c>
      <c r="M32" s="1">
        <f>ROUNDDOWN(L32*$E$6,0)</f>
        <v>0</v>
      </c>
      <c r="N32" s="3">
        <v>0</v>
      </c>
      <c r="O32" s="3">
        <f>IF(K32=0,0,N32/K32)</f>
        <v>0</v>
      </c>
      <c r="P32" s="3">
        <f>M32*O32</f>
        <v>0</v>
      </c>
    </row>
    <row r="33" spans="2:16" x14ac:dyDescent="0.3">
      <c r="B33" t="s">
        <v>112</v>
      </c>
      <c r="C33" t="s">
        <v>41</v>
      </c>
      <c r="D33" t="s">
        <v>20</v>
      </c>
      <c r="E33" s="1">
        <v>0</v>
      </c>
      <c r="F33" s="6">
        <f>IF($E$5=0,0,E33/$E$5)</f>
        <v>0</v>
      </c>
      <c r="G33" s="6">
        <f>ROUNDDOWN(F33*$E$6,0)</f>
        <v>0</v>
      </c>
      <c r="H33" s="3">
        <v>0</v>
      </c>
      <c r="I33" s="3">
        <f>IF(E33=0,0,H33/E33)</f>
        <v>0</v>
      </c>
      <c r="J33" s="3">
        <f>I33*G33</f>
        <v>0</v>
      </c>
      <c r="K33" s="1">
        <v>0</v>
      </c>
      <c r="L33" s="6">
        <f>IF($E$5=0,0,K33/$E$5)</f>
        <v>0</v>
      </c>
      <c r="M33" s="1">
        <f>ROUNDDOWN(L33*$E$6,0)</f>
        <v>0</v>
      </c>
      <c r="N33" s="3">
        <v>0</v>
      </c>
      <c r="O33" s="3">
        <f>IF(K33=0,0,N33/K33)</f>
        <v>0</v>
      </c>
      <c r="P33" s="3">
        <f>M33*O33</f>
        <v>0</v>
      </c>
    </row>
    <row r="34" spans="2:16" x14ac:dyDescent="0.3">
      <c r="B34" t="s">
        <v>112</v>
      </c>
      <c r="C34" t="s">
        <v>12</v>
      </c>
      <c r="D34" t="s">
        <v>20</v>
      </c>
      <c r="E34" s="1">
        <v>4</v>
      </c>
      <c r="F34" s="6">
        <f>IF($E$5=0,0,E34/$E$5)</f>
        <v>7.9666991973550562E-5</v>
      </c>
      <c r="G34" s="6">
        <f>ROUNDDOWN(F34*$E$6,0)</f>
        <v>14</v>
      </c>
      <c r="H34" s="3">
        <v>50</v>
      </c>
      <c r="I34" s="3">
        <f>IF(E34=0,0,H34/E34)</f>
        <v>12.5</v>
      </c>
      <c r="J34" s="3">
        <f>I34*G34</f>
        <v>175</v>
      </c>
      <c r="K34" s="1">
        <v>0</v>
      </c>
      <c r="L34" s="6">
        <f>IF($E$5=0,0,K34/$E$5)</f>
        <v>0</v>
      </c>
      <c r="M34" s="1">
        <f>ROUNDDOWN(L34*$E$6,0)</f>
        <v>0</v>
      </c>
      <c r="N34" s="3">
        <v>0</v>
      </c>
      <c r="O34" s="3">
        <f>IF(K34=0,0,N34/K34)</f>
        <v>0</v>
      </c>
      <c r="P34" s="3">
        <f>M34*O34</f>
        <v>0</v>
      </c>
    </row>
    <row r="35" spans="2:16" x14ac:dyDescent="0.3">
      <c r="B35" t="s">
        <v>112</v>
      </c>
      <c r="C35" t="s">
        <v>42</v>
      </c>
      <c r="D35" t="s">
        <v>20</v>
      </c>
      <c r="E35" s="1">
        <v>5</v>
      </c>
      <c r="F35" s="6">
        <f>IF($E$5=0,0,E35/$E$5)</f>
        <v>9.9583739966938199E-5</v>
      </c>
      <c r="G35" s="6">
        <f>ROUNDDOWN(F35*$E$6,0)</f>
        <v>18</v>
      </c>
      <c r="H35" s="3">
        <v>381</v>
      </c>
      <c r="I35" s="3">
        <f>IF(E35=0,0,H35/E35)</f>
        <v>76.2</v>
      </c>
      <c r="J35" s="3">
        <f>I35*G35</f>
        <v>1371.6000000000001</v>
      </c>
      <c r="K35" s="1">
        <v>0</v>
      </c>
      <c r="L35" s="6">
        <f>IF($E$5=0,0,K35/$E$5)</f>
        <v>0</v>
      </c>
      <c r="M35" s="1">
        <f>ROUNDDOWN(L35*$E$6,0)</f>
        <v>0</v>
      </c>
      <c r="N35" s="3">
        <v>0</v>
      </c>
      <c r="O35" s="3">
        <f>IF(K35=0,0,N35/K35)</f>
        <v>0</v>
      </c>
      <c r="P35" s="3">
        <f>M35*O35</f>
        <v>0</v>
      </c>
    </row>
    <row r="36" spans="2:16" x14ac:dyDescent="0.3">
      <c r="B36" t="s">
        <v>112</v>
      </c>
      <c r="C36" t="s">
        <v>13</v>
      </c>
      <c r="D36" t="s">
        <v>20</v>
      </c>
      <c r="E36" s="1">
        <v>1</v>
      </c>
      <c r="F36" s="6">
        <f>IF($E$5=0,0,E36/$E$5)</f>
        <v>1.9916747993387641E-5</v>
      </c>
      <c r="G36" s="6">
        <f>ROUNDDOWN(F36*$E$6,0)</f>
        <v>3</v>
      </c>
      <c r="H36" s="3">
        <v>0</v>
      </c>
      <c r="I36" s="3">
        <f>IF(E36=0,0,H36/E36)</f>
        <v>0</v>
      </c>
      <c r="J36" s="3">
        <f>I36*G36</f>
        <v>0</v>
      </c>
      <c r="K36" s="1">
        <v>0</v>
      </c>
      <c r="L36" s="6">
        <f>IF($E$5=0,0,K36/$E$5)</f>
        <v>0</v>
      </c>
      <c r="M36" s="1">
        <f>ROUNDDOWN(L36*$E$6,0)</f>
        <v>0</v>
      </c>
      <c r="N36" s="3">
        <v>0</v>
      </c>
      <c r="O36" s="3">
        <f>IF(K36=0,0,N36/K36)</f>
        <v>0</v>
      </c>
      <c r="P36" s="3">
        <f>M36*O36</f>
        <v>0</v>
      </c>
    </row>
    <row r="37" spans="2:16" x14ac:dyDescent="0.3">
      <c r="B37"/>
      <c r="C37"/>
      <c r="D37"/>
    </row>
    <row r="38" spans="2:16" x14ac:dyDescent="0.3">
      <c r="B38"/>
      <c r="C38"/>
      <c r="D38"/>
      <c r="E38" s="1">
        <f>SUM(E7:E36)</f>
        <v>27</v>
      </c>
      <c r="G38" s="6">
        <f>SUM(G7:G36)</f>
        <v>93</v>
      </c>
      <c r="H38" s="3">
        <f>SUM(H7:H36)</f>
        <v>16410</v>
      </c>
      <c r="I38" s="3">
        <f>IF(E38=0,0,H38/E38)</f>
        <v>607.77777777777783</v>
      </c>
      <c r="J38" s="3">
        <f>G38*I38</f>
        <v>56523.333333333336</v>
      </c>
      <c r="K38" s="1">
        <f>SUM(K7:K36)</f>
        <v>8</v>
      </c>
      <c r="M38" s="1">
        <f>SUM(M7:M36)</f>
        <v>25</v>
      </c>
      <c r="N38" s="3">
        <f>SUM(N7:N36)</f>
        <v>20200</v>
      </c>
      <c r="O38" s="3">
        <f>IF(K38=0,0,N38/K38)</f>
        <v>2525</v>
      </c>
      <c r="P38" s="3">
        <f>M38*O38</f>
        <v>63125</v>
      </c>
    </row>
    <row r="39" spans="2:16" x14ac:dyDescent="0.3">
      <c r="B39"/>
      <c r="C39"/>
      <c r="D39"/>
    </row>
    <row r="40" spans="2:16" x14ac:dyDescent="0.3">
      <c r="B40"/>
      <c r="C40"/>
      <c r="D40"/>
    </row>
    <row r="41" spans="2:16" x14ac:dyDescent="0.3">
      <c r="B41"/>
      <c r="C41"/>
      <c r="D41"/>
    </row>
    <row r="42" spans="2:16" x14ac:dyDescent="0.3">
      <c r="B42"/>
      <c r="C42"/>
      <c r="D42"/>
    </row>
    <row r="43" spans="2:16" x14ac:dyDescent="0.3">
      <c r="B43"/>
      <c r="C43"/>
      <c r="D43"/>
    </row>
    <row r="44" spans="2:16" x14ac:dyDescent="0.3">
      <c r="B44"/>
      <c r="C44"/>
      <c r="D44"/>
    </row>
    <row r="45" spans="2:16" x14ac:dyDescent="0.3">
      <c r="B45"/>
      <c r="C45"/>
      <c r="D45"/>
    </row>
    <row r="46" spans="2:16" x14ac:dyDescent="0.3">
      <c r="B46"/>
      <c r="C46"/>
      <c r="D46"/>
    </row>
    <row r="47" spans="2:16" x14ac:dyDescent="0.3">
      <c r="B47"/>
      <c r="C47"/>
      <c r="D47"/>
    </row>
    <row r="48" spans="2:16" x14ac:dyDescent="0.3">
      <c r="B48"/>
      <c r="C48"/>
      <c r="D48"/>
    </row>
    <row r="49" spans="2:4" x14ac:dyDescent="0.3">
      <c r="B49"/>
      <c r="C49"/>
      <c r="D49"/>
    </row>
    <row r="50" spans="2:4" x14ac:dyDescent="0.3">
      <c r="B50"/>
      <c r="C50"/>
      <c r="D50"/>
    </row>
    <row r="51" spans="2:4" x14ac:dyDescent="0.3">
      <c r="B51"/>
      <c r="C51"/>
      <c r="D51"/>
    </row>
    <row r="52" spans="2:4" x14ac:dyDescent="0.3">
      <c r="B52"/>
      <c r="C52"/>
      <c r="D52"/>
    </row>
    <row r="53" spans="2:4" x14ac:dyDescent="0.3">
      <c r="B53"/>
      <c r="C53"/>
      <c r="D53"/>
    </row>
    <row r="54" spans="2:4" x14ac:dyDescent="0.3">
      <c r="B54"/>
      <c r="C54"/>
      <c r="D54"/>
    </row>
    <row r="55" spans="2:4" x14ac:dyDescent="0.3">
      <c r="B55"/>
      <c r="C55"/>
      <c r="D55"/>
    </row>
    <row r="56" spans="2:4" x14ac:dyDescent="0.3">
      <c r="B56"/>
      <c r="C56"/>
      <c r="D56"/>
    </row>
    <row r="57" spans="2:4" x14ac:dyDescent="0.3">
      <c r="B57"/>
      <c r="C57"/>
      <c r="D57"/>
    </row>
    <row r="58" spans="2:4" x14ac:dyDescent="0.3">
      <c r="B58"/>
      <c r="C58"/>
      <c r="D58"/>
    </row>
    <row r="59" spans="2:4" x14ac:dyDescent="0.3">
      <c r="B59"/>
      <c r="C59"/>
      <c r="D59"/>
    </row>
    <row r="60" spans="2:4" x14ac:dyDescent="0.3">
      <c r="B60"/>
      <c r="C60"/>
      <c r="D60"/>
    </row>
    <row r="61" spans="2:4" x14ac:dyDescent="0.3">
      <c r="B61"/>
      <c r="C61"/>
      <c r="D61"/>
    </row>
    <row r="62" spans="2:4" x14ac:dyDescent="0.3">
      <c r="B62"/>
      <c r="C62"/>
      <c r="D62"/>
    </row>
    <row r="63" spans="2:4" x14ac:dyDescent="0.3">
      <c r="B63"/>
      <c r="C63"/>
      <c r="D63"/>
    </row>
    <row r="64" spans="2:4" x14ac:dyDescent="0.3">
      <c r="B64"/>
      <c r="C64"/>
      <c r="D64"/>
    </row>
    <row r="65" spans="2:4" x14ac:dyDescent="0.3">
      <c r="B65"/>
      <c r="C65"/>
      <c r="D65"/>
    </row>
    <row r="66" spans="2:4" x14ac:dyDescent="0.3">
      <c r="B66"/>
      <c r="C66"/>
      <c r="D66"/>
    </row>
    <row r="67" spans="2:4" x14ac:dyDescent="0.3">
      <c r="B67"/>
      <c r="C67"/>
      <c r="D67"/>
    </row>
    <row r="68" spans="2:4" x14ac:dyDescent="0.3">
      <c r="B68"/>
      <c r="C68"/>
      <c r="D68"/>
    </row>
    <row r="69" spans="2:4" x14ac:dyDescent="0.3">
      <c r="B69"/>
      <c r="C69"/>
      <c r="D69"/>
    </row>
    <row r="70" spans="2:4" x14ac:dyDescent="0.3">
      <c r="B70"/>
      <c r="C70"/>
      <c r="D70"/>
    </row>
    <row r="71" spans="2:4" x14ac:dyDescent="0.3">
      <c r="B71"/>
      <c r="C71"/>
      <c r="D71"/>
    </row>
    <row r="72" spans="2:4" x14ac:dyDescent="0.3">
      <c r="B72"/>
      <c r="C72"/>
      <c r="D72"/>
    </row>
    <row r="73" spans="2:4" x14ac:dyDescent="0.3">
      <c r="B73"/>
      <c r="C73"/>
      <c r="D73"/>
    </row>
    <row r="74" spans="2:4" x14ac:dyDescent="0.3">
      <c r="B74"/>
      <c r="C74"/>
      <c r="D74"/>
    </row>
    <row r="75" spans="2:4" x14ac:dyDescent="0.3">
      <c r="B75"/>
      <c r="C75"/>
      <c r="D75"/>
    </row>
    <row r="76" spans="2:4" x14ac:dyDescent="0.3">
      <c r="B76"/>
      <c r="C76"/>
      <c r="D76"/>
    </row>
    <row r="77" spans="2:4" x14ac:dyDescent="0.3">
      <c r="B77"/>
      <c r="C77"/>
      <c r="D77"/>
    </row>
    <row r="78" spans="2:4" x14ac:dyDescent="0.3">
      <c r="B78"/>
      <c r="C78"/>
      <c r="D78"/>
    </row>
    <row r="79" spans="2:4" x14ac:dyDescent="0.3">
      <c r="B79"/>
      <c r="C79"/>
      <c r="D79"/>
    </row>
    <row r="80" spans="2:4" x14ac:dyDescent="0.3">
      <c r="B80"/>
      <c r="C80"/>
      <c r="D80"/>
    </row>
    <row r="81" spans="2:4" x14ac:dyDescent="0.3">
      <c r="B81"/>
      <c r="C81"/>
      <c r="D81"/>
    </row>
    <row r="82" spans="2:4" x14ac:dyDescent="0.3">
      <c r="B82"/>
      <c r="C82"/>
      <c r="D82"/>
    </row>
    <row r="83" spans="2:4" x14ac:dyDescent="0.3">
      <c r="B83"/>
      <c r="C83"/>
      <c r="D83"/>
    </row>
    <row r="84" spans="2:4" x14ac:dyDescent="0.3">
      <c r="B84"/>
      <c r="C84"/>
      <c r="D84"/>
    </row>
    <row r="85" spans="2:4" x14ac:dyDescent="0.3">
      <c r="B85"/>
      <c r="C85"/>
      <c r="D85"/>
    </row>
    <row r="86" spans="2:4" x14ac:dyDescent="0.3">
      <c r="B86"/>
      <c r="C86"/>
      <c r="D86"/>
    </row>
    <row r="87" spans="2:4" x14ac:dyDescent="0.3">
      <c r="B87"/>
      <c r="C87"/>
      <c r="D87"/>
    </row>
    <row r="88" spans="2:4" x14ac:dyDescent="0.3">
      <c r="B88"/>
      <c r="C88"/>
      <c r="D88"/>
    </row>
    <row r="89" spans="2:4" x14ac:dyDescent="0.3">
      <c r="B89"/>
      <c r="C89"/>
      <c r="D89"/>
    </row>
    <row r="90" spans="2:4" x14ac:dyDescent="0.3">
      <c r="B90"/>
      <c r="C90"/>
      <c r="D90"/>
    </row>
    <row r="91" spans="2:4" x14ac:dyDescent="0.3">
      <c r="B91"/>
      <c r="C91"/>
      <c r="D91"/>
    </row>
    <row r="92" spans="2:4" x14ac:dyDescent="0.3">
      <c r="B92"/>
      <c r="C92"/>
      <c r="D92"/>
    </row>
    <row r="93" spans="2:4" x14ac:dyDescent="0.3">
      <c r="B93"/>
      <c r="C93"/>
      <c r="D93"/>
    </row>
    <row r="94" spans="2:4" x14ac:dyDescent="0.3">
      <c r="B94"/>
      <c r="C94"/>
      <c r="D94"/>
    </row>
    <row r="95" spans="2:4" x14ac:dyDescent="0.3">
      <c r="B95"/>
      <c r="C95"/>
      <c r="D95"/>
    </row>
    <row r="96" spans="2:4" x14ac:dyDescent="0.3">
      <c r="B96"/>
      <c r="C96"/>
      <c r="D96"/>
    </row>
    <row r="97" spans="2:4" x14ac:dyDescent="0.3">
      <c r="B97"/>
      <c r="C97"/>
      <c r="D97"/>
    </row>
    <row r="98" spans="2:4" x14ac:dyDescent="0.3">
      <c r="B98"/>
      <c r="C98"/>
      <c r="D98"/>
    </row>
    <row r="99" spans="2:4" x14ac:dyDescent="0.3">
      <c r="B99"/>
      <c r="C99"/>
      <c r="D99"/>
    </row>
    <row r="100" spans="2:4" x14ac:dyDescent="0.3">
      <c r="B100"/>
      <c r="C100"/>
      <c r="D100"/>
    </row>
    <row r="101" spans="2:4" x14ac:dyDescent="0.3">
      <c r="B101"/>
      <c r="C101"/>
      <c r="D101"/>
    </row>
    <row r="102" spans="2:4" x14ac:dyDescent="0.3">
      <c r="B102"/>
      <c r="C102"/>
      <c r="D102"/>
    </row>
    <row r="103" spans="2:4" x14ac:dyDescent="0.3">
      <c r="B103"/>
      <c r="C103"/>
      <c r="D103"/>
    </row>
    <row r="104" spans="2:4" x14ac:dyDescent="0.3">
      <c r="B104"/>
      <c r="C104"/>
      <c r="D104"/>
    </row>
    <row r="105" spans="2:4" x14ac:dyDescent="0.3">
      <c r="B105"/>
      <c r="C105"/>
      <c r="D105"/>
    </row>
    <row r="106" spans="2:4" x14ac:dyDescent="0.3">
      <c r="B106"/>
      <c r="C106"/>
      <c r="D106"/>
    </row>
    <row r="107" spans="2:4" x14ac:dyDescent="0.3">
      <c r="B107"/>
      <c r="C107"/>
      <c r="D107"/>
    </row>
    <row r="108" spans="2:4" x14ac:dyDescent="0.3">
      <c r="B108"/>
      <c r="C108"/>
      <c r="D108"/>
    </row>
    <row r="109" spans="2:4" x14ac:dyDescent="0.3">
      <c r="B109"/>
      <c r="C109"/>
      <c r="D109"/>
    </row>
    <row r="110" spans="2:4" x14ac:dyDescent="0.3">
      <c r="B110"/>
      <c r="C110"/>
      <c r="D110"/>
    </row>
    <row r="111" spans="2:4" x14ac:dyDescent="0.3">
      <c r="B111"/>
      <c r="C111"/>
      <c r="D111"/>
    </row>
    <row r="112" spans="2:4" x14ac:dyDescent="0.3">
      <c r="B112"/>
      <c r="C112"/>
      <c r="D112"/>
    </row>
    <row r="113" spans="2:4" x14ac:dyDescent="0.3">
      <c r="B113"/>
      <c r="C113"/>
      <c r="D113"/>
    </row>
    <row r="114" spans="2:4" x14ac:dyDescent="0.3">
      <c r="B114"/>
      <c r="C114"/>
      <c r="D114"/>
    </row>
    <row r="115" spans="2:4" x14ac:dyDescent="0.3">
      <c r="B115"/>
      <c r="C115"/>
      <c r="D115"/>
    </row>
    <row r="116" spans="2:4" x14ac:dyDescent="0.3">
      <c r="B116"/>
      <c r="C116"/>
      <c r="D116"/>
    </row>
    <row r="117" spans="2:4" x14ac:dyDescent="0.3">
      <c r="B117"/>
      <c r="C117"/>
      <c r="D117"/>
    </row>
    <row r="118" spans="2:4" x14ac:dyDescent="0.3">
      <c r="B118"/>
      <c r="C118"/>
      <c r="D118"/>
    </row>
    <row r="119" spans="2:4" x14ac:dyDescent="0.3">
      <c r="B119"/>
      <c r="C119"/>
      <c r="D119"/>
    </row>
    <row r="120" spans="2:4" x14ac:dyDescent="0.3">
      <c r="B120"/>
      <c r="C120"/>
      <c r="D120"/>
    </row>
  </sheetData>
  <sortState xmlns:xlrd2="http://schemas.microsoft.com/office/spreadsheetml/2017/richdata2" ref="B5:C11">
    <sortCondition ref="B5:B1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E9778-06B8-4619-B4BF-477C3D18F0B2}">
  <dimension ref="A1:AZ120"/>
  <sheetViews>
    <sheetView workbookViewId="0">
      <selection activeCell="J7" sqref="J7"/>
    </sheetView>
  </sheetViews>
  <sheetFormatPr defaultRowHeight="14.4" x14ac:dyDescent="0.3"/>
  <cols>
    <col min="2" max="2" width="40.77734375" customWidth="1"/>
    <col min="3" max="3" width="35.21875" customWidth="1"/>
    <col min="4" max="4" width="18.5546875" customWidth="1"/>
    <col min="5" max="5" width="18.5546875" style="1" customWidth="1"/>
    <col min="6" max="7" width="18.5546875" style="6" customWidth="1"/>
    <col min="8" max="10" width="18.5546875" style="3" customWidth="1"/>
    <col min="11" max="11" width="18.5546875" style="1" customWidth="1"/>
    <col min="12" max="12" width="18.5546875" style="6" customWidth="1"/>
    <col min="13" max="13" width="18.5546875" style="1" customWidth="1"/>
    <col min="14" max="16" width="18.5546875" style="3" customWidth="1"/>
    <col min="17" max="17" width="17.5546875" style="4" customWidth="1"/>
  </cols>
  <sheetData>
    <row r="1" spans="1:52" x14ac:dyDescent="0.3">
      <c r="Q1"/>
    </row>
    <row r="2" spans="1:52" x14ac:dyDescent="0.3">
      <c r="Q2"/>
    </row>
    <row r="3" spans="1:52" x14ac:dyDescent="0.3">
      <c r="Q3"/>
    </row>
    <row r="4" spans="1:52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13" t="s">
        <v>22</v>
      </c>
      <c r="I4" s="13" t="s">
        <v>43</v>
      </c>
      <c r="J4" s="13" t="s">
        <v>44</v>
      </c>
      <c r="K4" s="9" t="s">
        <v>46</v>
      </c>
      <c r="L4" s="11" t="s">
        <v>48</v>
      </c>
      <c r="M4" s="9" t="s">
        <v>49</v>
      </c>
      <c r="N4" s="13" t="s">
        <v>47</v>
      </c>
      <c r="O4" s="13" t="s">
        <v>51</v>
      </c>
      <c r="P4" s="13" t="s">
        <v>50</v>
      </c>
      <c r="Q4"/>
    </row>
    <row r="5" spans="1:52" x14ac:dyDescent="0.3">
      <c r="B5" s="8" t="s">
        <v>85</v>
      </c>
      <c r="C5" s="8" t="s">
        <v>90</v>
      </c>
      <c r="D5" s="8" t="s">
        <v>6</v>
      </c>
      <c r="E5" s="10">
        <v>49761</v>
      </c>
      <c r="F5" s="12" t="s">
        <v>14</v>
      </c>
      <c r="G5" s="12" t="s">
        <v>18</v>
      </c>
      <c r="H5" s="14"/>
      <c r="I5" s="14"/>
      <c r="J5" s="14" t="s">
        <v>45</v>
      </c>
      <c r="K5" s="10"/>
      <c r="L5" s="12"/>
      <c r="M5" s="10"/>
      <c r="N5" s="14"/>
      <c r="O5" s="14"/>
      <c r="P5" s="14" t="s">
        <v>52</v>
      </c>
      <c r="Q5"/>
    </row>
    <row r="6" spans="1:52" s="2" customFormat="1" x14ac:dyDescent="0.3">
      <c r="A6"/>
      <c r="B6" s="8" t="s">
        <v>55</v>
      </c>
      <c r="C6" s="8" t="s">
        <v>56</v>
      </c>
      <c r="D6" s="8" t="s">
        <v>6</v>
      </c>
      <c r="E6" s="10">
        <v>181560</v>
      </c>
      <c r="F6" s="12"/>
      <c r="G6" s="12"/>
      <c r="H6" s="14"/>
      <c r="I6" s="14"/>
      <c r="J6" s="14"/>
      <c r="K6" s="10"/>
      <c r="L6" s="12"/>
      <c r="M6" s="10"/>
      <c r="N6" s="14"/>
      <c r="O6" s="14"/>
      <c r="P6" s="14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</row>
    <row r="7" spans="1:52" s="2" customFormat="1" x14ac:dyDescent="0.3">
      <c r="A7"/>
      <c r="B7" t="s">
        <v>113</v>
      </c>
      <c r="C7" t="s">
        <v>23</v>
      </c>
      <c r="D7" t="s">
        <v>20</v>
      </c>
      <c r="E7" s="1">
        <v>0</v>
      </c>
      <c r="F7" s="6">
        <f>IF($E$5=0,0,E7/$E$5)</f>
        <v>0</v>
      </c>
      <c r="G7" s="6">
        <f>ROUNDDOWN(F7*$E$6,0)</f>
        <v>0</v>
      </c>
      <c r="H7" s="3">
        <v>0</v>
      </c>
      <c r="I7" s="3">
        <f>IF(E7=0,0,H7/E7)</f>
        <v>0</v>
      </c>
      <c r="J7" s="3">
        <f>I7*G7</f>
        <v>0</v>
      </c>
      <c r="K7" s="1">
        <v>1</v>
      </c>
      <c r="L7" s="6">
        <f>IF($E$5=0,0,K7/$E$5)</f>
        <v>2.0096059162798174E-5</v>
      </c>
      <c r="M7" s="1">
        <f>ROUNDDOWN(L7*$E$6,0)</f>
        <v>3</v>
      </c>
      <c r="N7" s="3">
        <v>0</v>
      </c>
      <c r="O7" s="3">
        <f>IF(K7=0,0,N7/K7)</f>
        <v>0</v>
      </c>
      <c r="P7" s="3">
        <f>M7*O7</f>
        <v>0</v>
      </c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</row>
    <row r="8" spans="1:52" s="2" customFormat="1" x14ac:dyDescent="0.3">
      <c r="A8"/>
      <c r="B8" t="s">
        <v>113</v>
      </c>
      <c r="C8" t="s">
        <v>21</v>
      </c>
      <c r="D8" t="s">
        <v>20</v>
      </c>
      <c r="E8" s="1">
        <v>5</v>
      </c>
      <c r="F8" s="6">
        <f>IF($E$5=0,0,E8/$E$5)</f>
        <v>1.0048029581399087E-4</v>
      </c>
      <c r="G8" s="6">
        <f>ROUNDDOWN(F8*$E$6,0)</f>
        <v>18</v>
      </c>
      <c r="H8" s="3">
        <v>0</v>
      </c>
      <c r="I8" s="3">
        <f>IF(E8=0,0,H8/E8)</f>
        <v>0</v>
      </c>
      <c r="J8" s="3">
        <f>I8*G8</f>
        <v>0</v>
      </c>
      <c r="K8" s="1">
        <v>1</v>
      </c>
      <c r="L8" s="6">
        <f>IF($E$5=0,0,K8/$E$5)</f>
        <v>2.0096059162798174E-5</v>
      </c>
      <c r="M8" s="1">
        <f>ROUNDDOWN(L8*$E$6,0)</f>
        <v>3</v>
      </c>
      <c r="N8" s="3">
        <v>0</v>
      </c>
      <c r="O8" s="3">
        <f>IF(K8=0,0,N8/K8)</f>
        <v>0</v>
      </c>
      <c r="P8" s="3">
        <f>M8*O8</f>
        <v>0</v>
      </c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</row>
    <row r="9" spans="1:52" s="2" customFormat="1" x14ac:dyDescent="0.3">
      <c r="A9"/>
      <c r="B9" t="s">
        <v>113</v>
      </c>
      <c r="C9" t="s">
        <v>24</v>
      </c>
      <c r="D9" t="s">
        <v>20</v>
      </c>
      <c r="E9" s="1">
        <v>0</v>
      </c>
      <c r="F9" s="6">
        <f>IF($E$5=0,0,E9/$E$5)</f>
        <v>0</v>
      </c>
      <c r="G9" s="6">
        <f>ROUNDDOWN(F9*$E$6,0)</f>
        <v>0</v>
      </c>
      <c r="H9" s="3">
        <v>0</v>
      </c>
      <c r="I9" s="3">
        <f>IF(E9=0,0,H9/E9)</f>
        <v>0</v>
      </c>
      <c r="J9" s="3">
        <f>I9*G9</f>
        <v>0</v>
      </c>
      <c r="K9" s="1">
        <v>0</v>
      </c>
      <c r="L9" s="6">
        <f>IF($E$5=0,0,K9/$E$5)</f>
        <v>0</v>
      </c>
      <c r="M9" s="1">
        <f>ROUNDDOWN(L9*$E$6,0)</f>
        <v>0</v>
      </c>
      <c r="N9" s="3">
        <v>0</v>
      </c>
      <c r="O9" s="3">
        <f>IF(K9=0,0,N9/K9)</f>
        <v>0</v>
      </c>
      <c r="P9" s="3">
        <f>M9*O9</f>
        <v>0</v>
      </c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</row>
    <row r="10" spans="1:52" s="2" customFormat="1" x14ac:dyDescent="0.3">
      <c r="A10"/>
      <c r="B10" t="s">
        <v>113</v>
      </c>
      <c r="C10" t="s">
        <v>25</v>
      </c>
      <c r="D10" t="s">
        <v>20</v>
      </c>
      <c r="E10" s="1">
        <v>1</v>
      </c>
      <c r="F10" s="6">
        <f>IF($E$5=0,0,E10/$E$5)</f>
        <v>2.0096059162798174E-5</v>
      </c>
      <c r="G10" s="6">
        <f>ROUNDDOWN(F10*$E$6,0)</f>
        <v>3</v>
      </c>
      <c r="H10" s="3">
        <v>500</v>
      </c>
      <c r="I10" s="3">
        <f>IF(E10=0,0,H10/E10)</f>
        <v>500</v>
      </c>
      <c r="J10" s="3">
        <f>I10*G10</f>
        <v>1500</v>
      </c>
      <c r="K10" s="1">
        <v>0</v>
      </c>
      <c r="L10" s="6">
        <f>IF($E$5=0,0,K10/$E$5)</f>
        <v>0</v>
      </c>
      <c r="M10" s="1">
        <f>ROUNDDOWN(L10*$E$6,0)</f>
        <v>0</v>
      </c>
      <c r="N10" s="3">
        <v>0</v>
      </c>
      <c r="O10" s="3">
        <f>IF(K10=0,0,N10/K10)</f>
        <v>0</v>
      </c>
      <c r="P10" s="3">
        <f>M10*O10</f>
        <v>0</v>
      </c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</row>
    <row r="11" spans="1:52" s="2" customFormat="1" x14ac:dyDescent="0.3">
      <c r="A11"/>
      <c r="B11" t="s">
        <v>113</v>
      </c>
      <c r="C11" t="s">
        <v>82</v>
      </c>
      <c r="D11" t="s">
        <v>20</v>
      </c>
      <c r="E11" s="1">
        <v>0</v>
      </c>
      <c r="F11" s="6">
        <f>IF($E$5=0,0,E11/$E$5)</f>
        <v>0</v>
      </c>
      <c r="G11" s="6">
        <f>ROUNDDOWN(F11*$E$6,0)</f>
        <v>0</v>
      </c>
      <c r="H11" s="3">
        <v>0</v>
      </c>
      <c r="I11" s="3">
        <f>IF(E11=0,0,H11/E11)</f>
        <v>0</v>
      </c>
      <c r="J11" s="3">
        <f>I11*G11</f>
        <v>0</v>
      </c>
      <c r="K11" s="1">
        <v>0</v>
      </c>
      <c r="L11" s="6">
        <f>IF($E$5=0,0,K11/$E$5)</f>
        <v>0</v>
      </c>
      <c r="M11" s="1">
        <f>ROUNDDOWN(L11*$E$6,0)</f>
        <v>0</v>
      </c>
      <c r="N11" s="3">
        <v>0</v>
      </c>
      <c r="O11" s="3">
        <f>IF(K11=0,0,N11/K11)</f>
        <v>0</v>
      </c>
      <c r="P11" s="3">
        <f>M11*O11</f>
        <v>0</v>
      </c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</row>
    <row r="12" spans="1:52" s="2" customFormat="1" x14ac:dyDescent="0.3">
      <c r="A12"/>
      <c r="B12" t="s">
        <v>113</v>
      </c>
      <c r="C12" t="s">
        <v>3</v>
      </c>
      <c r="D12" t="s">
        <v>20</v>
      </c>
      <c r="E12" s="1">
        <v>0</v>
      </c>
      <c r="F12" s="6">
        <f>IF($E$5=0,0,E12/$E$5)</f>
        <v>0</v>
      </c>
      <c r="G12" s="6">
        <f>ROUNDDOWN(F12*$E$6,0)</f>
        <v>0</v>
      </c>
      <c r="H12" s="3">
        <v>0</v>
      </c>
      <c r="I12" s="3">
        <f>IF(E12=0,0,H12/E12)</f>
        <v>0</v>
      </c>
      <c r="J12" s="3">
        <f>I12*G12</f>
        <v>0</v>
      </c>
      <c r="K12" s="1">
        <v>0</v>
      </c>
      <c r="L12" s="6">
        <f>IF($E$5=0,0,K12/$E$5)</f>
        <v>0</v>
      </c>
      <c r="M12" s="1">
        <f>ROUNDDOWN(L12*$E$6,0)</f>
        <v>0</v>
      </c>
      <c r="N12" s="3">
        <v>0</v>
      </c>
      <c r="O12" s="3">
        <f>IF(K12=0,0,N12/K12)</f>
        <v>0</v>
      </c>
      <c r="P12" s="3">
        <f>M12*O12</f>
        <v>0</v>
      </c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</row>
    <row r="13" spans="1:52" s="2" customFormat="1" x14ac:dyDescent="0.3">
      <c r="A13"/>
      <c r="B13" t="s">
        <v>113</v>
      </c>
      <c r="C13" t="s">
        <v>4</v>
      </c>
      <c r="D13" t="s">
        <v>20</v>
      </c>
      <c r="E13" s="1">
        <v>1</v>
      </c>
      <c r="F13" s="6">
        <f>IF($E$5=0,0,E13/$E$5)</f>
        <v>2.0096059162798174E-5</v>
      </c>
      <c r="G13" s="6">
        <f>ROUNDDOWN(F13*$E$6,0)</f>
        <v>3</v>
      </c>
      <c r="H13" s="3">
        <v>389409</v>
      </c>
      <c r="I13" s="3">
        <f>IF(E13=0,0,H13/E13)</f>
        <v>389409</v>
      </c>
      <c r="J13" s="3">
        <f>I13*G13</f>
        <v>1168227</v>
      </c>
      <c r="K13" s="1">
        <v>0</v>
      </c>
      <c r="L13" s="6">
        <f>IF($E$5=0,0,K13/$E$5)</f>
        <v>0</v>
      </c>
      <c r="M13" s="1">
        <f>ROUNDDOWN(L13*$E$6,0)</f>
        <v>0</v>
      </c>
      <c r="N13" s="3">
        <v>0</v>
      </c>
      <c r="O13" s="3">
        <f>IF(K13=0,0,N13/K13)</f>
        <v>0</v>
      </c>
      <c r="P13" s="3">
        <f>M13*O13</f>
        <v>0</v>
      </c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</row>
    <row r="14" spans="1:52" s="2" customFormat="1" x14ac:dyDescent="0.3">
      <c r="A14"/>
      <c r="B14" t="s">
        <v>113</v>
      </c>
      <c r="C14" t="s">
        <v>27</v>
      </c>
      <c r="D14" t="s">
        <v>20</v>
      </c>
      <c r="E14" s="1">
        <v>0</v>
      </c>
      <c r="F14" s="6">
        <f>IF($E$5=0,0,E14/$E$5)</f>
        <v>0</v>
      </c>
      <c r="G14" s="6">
        <f>ROUNDDOWN(F14*$E$6,0)</f>
        <v>0</v>
      </c>
      <c r="H14" s="3">
        <v>0</v>
      </c>
      <c r="I14" s="3">
        <f>IF(E14=0,0,H14/E14)</f>
        <v>0</v>
      </c>
      <c r="J14" s="3">
        <f>I14*G14</f>
        <v>0</v>
      </c>
      <c r="K14" s="1">
        <v>0</v>
      </c>
      <c r="L14" s="6">
        <f>IF($E$5=0,0,K14/$E$5)</f>
        <v>0</v>
      </c>
      <c r="M14" s="1">
        <f>ROUNDDOWN(L14*$E$6,0)</f>
        <v>0</v>
      </c>
      <c r="N14" s="3">
        <v>0</v>
      </c>
      <c r="O14" s="3">
        <f>IF(K14=0,0,N14/K14)</f>
        <v>0</v>
      </c>
      <c r="P14" s="3">
        <f>M14*O14</f>
        <v>0</v>
      </c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</row>
    <row r="15" spans="1:52" s="2" customFormat="1" x14ac:dyDescent="0.3">
      <c r="A15"/>
      <c r="B15" t="s">
        <v>113</v>
      </c>
      <c r="C15" t="s">
        <v>7</v>
      </c>
      <c r="D15" t="s">
        <v>20</v>
      </c>
      <c r="E15" s="1">
        <v>2</v>
      </c>
      <c r="F15" s="6">
        <f>IF($E$5=0,0,E15/$E$5)</f>
        <v>4.0192118325596348E-5</v>
      </c>
      <c r="G15" s="6">
        <f>ROUNDDOWN(F15*$E$6,0)</f>
        <v>7</v>
      </c>
      <c r="H15" s="3">
        <v>0</v>
      </c>
      <c r="I15" s="3">
        <f>IF(E15=0,0,H15/E15)</f>
        <v>0</v>
      </c>
      <c r="J15" s="3">
        <f>I15*G15</f>
        <v>0</v>
      </c>
      <c r="K15" s="1">
        <v>0</v>
      </c>
      <c r="L15" s="6">
        <f>IF($E$5=0,0,K15/$E$5)</f>
        <v>0</v>
      </c>
      <c r="M15" s="1">
        <f>ROUNDDOWN(L15*$E$6,0)</f>
        <v>0</v>
      </c>
      <c r="N15" s="3">
        <v>0</v>
      </c>
      <c r="O15" s="3">
        <f>IF(K15=0,0,N15/K15)</f>
        <v>0</v>
      </c>
      <c r="P15" s="3">
        <f>M15*O15</f>
        <v>0</v>
      </c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</row>
    <row r="16" spans="1:52" s="2" customFormat="1" x14ac:dyDescent="0.3">
      <c r="A16"/>
      <c r="B16" t="s">
        <v>113</v>
      </c>
      <c r="C16" t="s">
        <v>28</v>
      </c>
      <c r="D16" t="s">
        <v>20</v>
      </c>
      <c r="E16" s="1">
        <v>0</v>
      </c>
      <c r="F16" s="6">
        <f>IF($E$5=0,0,E16/$E$5)</f>
        <v>0</v>
      </c>
      <c r="G16" s="6">
        <f>ROUNDDOWN(F16*$E$6,0)</f>
        <v>0</v>
      </c>
      <c r="H16" s="3">
        <v>0</v>
      </c>
      <c r="I16" s="3">
        <f>IF(E16=0,0,H16/E16)</f>
        <v>0</v>
      </c>
      <c r="J16" s="3">
        <f>I16*G16</f>
        <v>0</v>
      </c>
      <c r="K16" s="1">
        <v>0</v>
      </c>
      <c r="L16" s="6">
        <f>IF($E$5=0,0,K16/$E$5)</f>
        <v>0</v>
      </c>
      <c r="M16" s="1">
        <f>ROUNDDOWN(L16*$E$6,0)</f>
        <v>0</v>
      </c>
      <c r="N16" s="3">
        <v>0</v>
      </c>
      <c r="O16" s="3">
        <f>IF(K16=0,0,N16/K16)</f>
        <v>0</v>
      </c>
      <c r="P16" s="3">
        <f>M16*O16</f>
        <v>0</v>
      </c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</row>
    <row r="17" spans="1:52" s="2" customFormat="1" x14ac:dyDescent="0.3">
      <c r="A17"/>
      <c r="B17" t="s">
        <v>113</v>
      </c>
      <c r="C17" t="s">
        <v>29</v>
      </c>
      <c r="D17" t="s">
        <v>20</v>
      </c>
      <c r="E17" s="1">
        <v>0</v>
      </c>
      <c r="F17" s="6">
        <f>IF($E$5=0,0,E17/$E$5)</f>
        <v>0</v>
      </c>
      <c r="G17" s="6">
        <f>ROUNDDOWN(F17*$E$6,0)</f>
        <v>0</v>
      </c>
      <c r="H17" s="3">
        <v>0</v>
      </c>
      <c r="I17" s="3">
        <f>IF(E17=0,0,H17/E17)</f>
        <v>0</v>
      </c>
      <c r="J17" s="3">
        <f>I17*G17</f>
        <v>0</v>
      </c>
      <c r="K17" s="1">
        <v>0</v>
      </c>
      <c r="L17" s="6">
        <f>IF($E$5=0,0,K17/$E$5)</f>
        <v>0</v>
      </c>
      <c r="M17" s="1">
        <f>ROUNDDOWN(L17*$E$6,0)</f>
        <v>0</v>
      </c>
      <c r="N17" s="3">
        <v>0</v>
      </c>
      <c r="O17" s="3">
        <f>IF(K17=0,0,N17/K17)</f>
        <v>0</v>
      </c>
      <c r="P17" s="3">
        <f>M17*O17</f>
        <v>0</v>
      </c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</row>
    <row r="18" spans="1:52" s="2" customFormat="1" x14ac:dyDescent="0.3">
      <c r="A18"/>
      <c r="B18" t="s">
        <v>113</v>
      </c>
      <c r="C18" t="s">
        <v>30</v>
      </c>
      <c r="D18" t="s">
        <v>20</v>
      </c>
      <c r="E18" s="1">
        <v>0</v>
      </c>
      <c r="F18" s="6">
        <f>IF($E$5=0,0,E18/$E$5)</f>
        <v>0</v>
      </c>
      <c r="G18" s="6">
        <f>ROUNDDOWN(F18*$E$6,0)</f>
        <v>0</v>
      </c>
      <c r="H18" s="3">
        <v>0</v>
      </c>
      <c r="I18" s="3">
        <f>IF(E18=0,0,H18/E18)</f>
        <v>0</v>
      </c>
      <c r="J18" s="3">
        <f>I18*G18</f>
        <v>0</v>
      </c>
      <c r="K18" s="1">
        <v>0</v>
      </c>
      <c r="L18" s="6">
        <f>IF($E$5=0,0,K18/$E$5)</f>
        <v>0</v>
      </c>
      <c r="M18" s="1">
        <f>ROUNDDOWN(L18*$E$6,0)</f>
        <v>0</v>
      </c>
      <c r="N18" s="3">
        <v>0</v>
      </c>
      <c r="O18" s="3">
        <f>IF(K18=0,0,N18/K18)</f>
        <v>0</v>
      </c>
      <c r="P18" s="3">
        <f>M18*O18</f>
        <v>0</v>
      </c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</row>
    <row r="19" spans="1:52" s="2" customFormat="1" x14ac:dyDescent="0.3">
      <c r="A19"/>
      <c r="B19" t="s">
        <v>113</v>
      </c>
      <c r="C19" t="s">
        <v>31</v>
      </c>
      <c r="D19" t="s">
        <v>20</v>
      </c>
      <c r="E19" s="1">
        <v>1</v>
      </c>
      <c r="F19" s="6">
        <f>IF($E$5=0,0,E19/$E$5)</f>
        <v>2.0096059162798174E-5</v>
      </c>
      <c r="G19" s="6">
        <f>ROUNDDOWN(F19*$E$6,0)</f>
        <v>3</v>
      </c>
      <c r="H19" s="3">
        <v>0</v>
      </c>
      <c r="I19" s="3">
        <f>IF(E19=0,0,H19/E19)</f>
        <v>0</v>
      </c>
      <c r="J19" s="3">
        <f>I19*G19</f>
        <v>0</v>
      </c>
      <c r="K19" s="1">
        <v>0</v>
      </c>
      <c r="L19" s="6">
        <f>IF($E$5=0,0,K19/$E$5)</f>
        <v>0</v>
      </c>
      <c r="M19" s="1">
        <f>ROUNDDOWN(L19*$E$6,0)</f>
        <v>0</v>
      </c>
      <c r="N19" s="3">
        <v>0</v>
      </c>
      <c r="O19" s="3">
        <f>IF(K19=0,0,N19/K19)</f>
        <v>0</v>
      </c>
      <c r="P19" s="3">
        <f>M19*O19</f>
        <v>0</v>
      </c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</row>
    <row r="20" spans="1:52" s="2" customFormat="1" x14ac:dyDescent="0.3">
      <c r="A20"/>
      <c r="B20" t="s">
        <v>113</v>
      </c>
      <c r="C20" t="s">
        <v>32</v>
      </c>
      <c r="D20" t="s">
        <v>20</v>
      </c>
      <c r="E20" s="1">
        <v>0</v>
      </c>
      <c r="F20" s="6">
        <f>IF($E$5=0,0,E20/$E$5)</f>
        <v>0</v>
      </c>
      <c r="G20" s="6">
        <f>ROUNDDOWN(F20*$E$6,0)</f>
        <v>0</v>
      </c>
      <c r="H20" s="3">
        <v>0</v>
      </c>
      <c r="I20" s="3">
        <f>IF(E20=0,0,H20/E20)</f>
        <v>0</v>
      </c>
      <c r="J20" s="3">
        <f>I20*G20</f>
        <v>0</v>
      </c>
      <c r="K20" s="1">
        <v>1</v>
      </c>
      <c r="L20" s="6">
        <f>IF($E$5=0,0,K20/$E$5)</f>
        <v>2.0096059162798174E-5</v>
      </c>
      <c r="M20" s="1">
        <f>ROUNDDOWN(L20*$E$6,0)</f>
        <v>3</v>
      </c>
      <c r="N20" s="3">
        <v>400</v>
      </c>
      <c r="O20" s="3">
        <f>IF(K20=0,0,N20/K20)</f>
        <v>400</v>
      </c>
      <c r="P20" s="3">
        <f>M20*O20</f>
        <v>1200</v>
      </c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</row>
    <row r="21" spans="1:52" s="2" customFormat="1" x14ac:dyDescent="0.3">
      <c r="A21"/>
      <c r="B21" t="s">
        <v>113</v>
      </c>
      <c r="C21" t="s">
        <v>33</v>
      </c>
      <c r="D21" t="s">
        <v>20</v>
      </c>
      <c r="E21" s="1">
        <v>0</v>
      </c>
      <c r="F21" s="6">
        <f>IF($E$5=0,0,E21/$E$5)</f>
        <v>0</v>
      </c>
      <c r="G21" s="6">
        <f>ROUNDDOWN(F21*$E$6,0)</f>
        <v>0</v>
      </c>
      <c r="H21" s="3">
        <v>0</v>
      </c>
      <c r="I21" s="3">
        <f>IF(E21=0,0,H21/E21)</f>
        <v>0</v>
      </c>
      <c r="J21" s="3">
        <f>I21*G21</f>
        <v>0</v>
      </c>
      <c r="K21" s="1">
        <v>0</v>
      </c>
      <c r="L21" s="6">
        <f>IF($E$5=0,0,K21/$E$5)</f>
        <v>0</v>
      </c>
      <c r="M21" s="1">
        <f>ROUNDDOWN(L21*$E$6,0)</f>
        <v>0</v>
      </c>
      <c r="N21" s="3">
        <v>0</v>
      </c>
      <c r="O21" s="3">
        <f>IF(K21=0,0,N21/K21)</f>
        <v>0</v>
      </c>
      <c r="P21" s="3">
        <f>M21*O21</f>
        <v>0</v>
      </c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</row>
    <row r="22" spans="1:52" s="2" customFormat="1" x14ac:dyDescent="0.3">
      <c r="A22"/>
      <c r="B22" t="s">
        <v>113</v>
      </c>
      <c r="C22" t="s">
        <v>8</v>
      </c>
      <c r="D22" t="s">
        <v>20</v>
      </c>
      <c r="E22" s="1">
        <v>0</v>
      </c>
      <c r="F22" s="6">
        <f>IF($E$5=0,0,E22/$E$5)</f>
        <v>0</v>
      </c>
      <c r="G22" s="6">
        <f>ROUNDDOWN(F22*$E$6,0)</f>
        <v>0</v>
      </c>
      <c r="H22" s="3">
        <v>0</v>
      </c>
      <c r="I22" s="3">
        <f>IF(E22=0,0,H22/E22)</f>
        <v>0</v>
      </c>
      <c r="J22" s="3">
        <f>I22*G22</f>
        <v>0</v>
      </c>
      <c r="K22" s="1">
        <v>0</v>
      </c>
      <c r="L22" s="6">
        <f>IF($E$5=0,0,K22/$E$5)</f>
        <v>0</v>
      </c>
      <c r="M22" s="1">
        <f>ROUNDDOWN(L22*$E$6,0)</f>
        <v>0</v>
      </c>
      <c r="N22" s="3">
        <v>0</v>
      </c>
      <c r="O22" s="3">
        <f>IF(K22=0,0,N22/K22)</f>
        <v>0</v>
      </c>
      <c r="P22" s="3">
        <f>M22*O22</f>
        <v>0</v>
      </c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</row>
    <row r="23" spans="1:52" s="2" customFormat="1" x14ac:dyDescent="0.3">
      <c r="A23"/>
      <c r="B23" t="s">
        <v>113</v>
      </c>
      <c r="C23" t="s">
        <v>34</v>
      </c>
      <c r="D23" t="s">
        <v>20</v>
      </c>
      <c r="E23" s="1">
        <v>0</v>
      </c>
      <c r="F23" s="6">
        <f>IF($E$5=0,0,E23/$E$5)</f>
        <v>0</v>
      </c>
      <c r="G23" s="6">
        <f>ROUNDDOWN(F23*$E$6,0)</f>
        <v>0</v>
      </c>
      <c r="H23" s="3">
        <v>0</v>
      </c>
      <c r="I23" s="3">
        <f>IF(E23=0,0,H23/E23)</f>
        <v>0</v>
      </c>
      <c r="J23" s="3">
        <f>I23*G23</f>
        <v>0</v>
      </c>
      <c r="K23" s="1">
        <v>0</v>
      </c>
      <c r="L23" s="6">
        <f>IF($E$5=0,0,K23/$E$5)</f>
        <v>0</v>
      </c>
      <c r="M23" s="1">
        <f>ROUNDDOWN(L23*$E$6,0)</f>
        <v>0</v>
      </c>
      <c r="N23" s="3">
        <v>0</v>
      </c>
      <c r="O23" s="3">
        <f>IF(K23=0,0,N23/K23)</f>
        <v>0</v>
      </c>
      <c r="P23" s="3">
        <f>M23*O23</f>
        <v>0</v>
      </c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</row>
    <row r="24" spans="1:52" s="2" customFormat="1" x14ac:dyDescent="0.3">
      <c r="A24"/>
      <c r="B24" t="s">
        <v>113</v>
      </c>
      <c r="C24" t="s">
        <v>35</v>
      </c>
      <c r="D24" t="s">
        <v>20</v>
      </c>
      <c r="E24" s="1">
        <v>0</v>
      </c>
      <c r="F24" s="6">
        <f>IF($E$5=0,0,E24/$E$5)</f>
        <v>0</v>
      </c>
      <c r="G24" s="6">
        <f>ROUNDDOWN(F24*$E$6,0)</f>
        <v>0</v>
      </c>
      <c r="H24" s="3">
        <v>0</v>
      </c>
      <c r="I24" s="3">
        <f>IF(E24=0,0,H24/E24)</f>
        <v>0</v>
      </c>
      <c r="J24" s="3">
        <f>I24*G24</f>
        <v>0</v>
      </c>
      <c r="K24" s="1">
        <v>0</v>
      </c>
      <c r="L24" s="6">
        <f>IF($E$5=0,0,K24/$E$5)</f>
        <v>0</v>
      </c>
      <c r="M24" s="1">
        <f>ROUNDDOWN(L24*$E$6,0)</f>
        <v>0</v>
      </c>
      <c r="N24" s="3">
        <v>0</v>
      </c>
      <c r="O24" s="3">
        <f>IF(K24=0,0,N24/K24)</f>
        <v>0</v>
      </c>
      <c r="P24" s="3">
        <f>M24*O24</f>
        <v>0</v>
      </c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</row>
    <row r="25" spans="1:52" s="2" customFormat="1" x14ac:dyDescent="0.3">
      <c r="A25"/>
      <c r="B25" t="s">
        <v>113</v>
      </c>
      <c r="C25" t="s">
        <v>36</v>
      </c>
      <c r="D25" t="s">
        <v>20</v>
      </c>
      <c r="E25" s="1">
        <v>28</v>
      </c>
      <c r="F25" s="6">
        <f>IF($E$5=0,0,E25/$E$5)</f>
        <v>5.6268965655834893E-4</v>
      </c>
      <c r="G25" s="6">
        <f>ROUNDDOWN(F25*$E$6,0)</f>
        <v>102</v>
      </c>
      <c r="H25" s="3">
        <v>0</v>
      </c>
      <c r="I25" s="3">
        <f>IF(E25=0,0,H25/E25)</f>
        <v>0</v>
      </c>
      <c r="J25" s="3">
        <f>I25*G25</f>
        <v>0</v>
      </c>
      <c r="K25" s="1">
        <v>0</v>
      </c>
      <c r="L25" s="6">
        <f>IF($E$5=0,0,K25/$E$5)</f>
        <v>0</v>
      </c>
      <c r="M25" s="1">
        <f>ROUNDDOWN(L25*$E$6,0)</f>
        <v>0</v>
      </c>
      <c r="N25" s="3">
        <v>0</v>
      </c>
      <c r="O25" s="3">
        <f>IF(K25=0,0,N25/K25)</f>
        <v>0</v>
      </c>
      <c r="P25" s="3">
        <f>M25*O25</f>
        <v>0</v>
      </c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</row>
    <row r="26" spans="1:52" s="2" customFormat="1" x14ac:dyDescent="0.3">
      <c r="A26"/>
      <c r="B26" t="s">
        <v>113</v>
      </c>
      <c r="C26" t="s">
        <v>37</v>
      </c>
      <c r="D26" t="s">
        <v>20</v>
      </c>
      <c r="E26" s="1">
        <v>0</v>
      </c>
      <c r="F26" s="6">
        <f>IF($E$5=0,0,E26/$E$5)</f>
        <v>0</v>
      </c>
      <c r="G26" s="6">
        <f>ROUNDDOWN(F26*$E$6,0)</f>
        <v>0</v>
      </c>
      <c r="H26" s="3">
        <v>0</v>
      </c>
      <c r="I26" s="3">
        <f>IF(E26=0,0,H26/E26)</f>
        <v>0</v>
      </c>
      <c r="J26" s="3">
        <f>I26*G26</f>
        <v>0</v>
      </c>
      <c r="K26" s="1">
        <v>0</v>
      </c>
      <c r="L26" s="6">
        <f>IF($E$5=0,0,K26/$E$5)</f>
        <v>0</v>
      </c>
      <c r="M26" s="1">
        <f>ROUNDDOWN(L26*$E$6,0)</f>
        <v>0</v>
      </c>
      <c r="N26" s="3">
        <v>0</v>
      </c>
      <c r="O26" s="3">
        <f>IF(K26=0,0,N26/K26)</f>
        <v>0</v>
      </c>
      <c r="P26" s="3">
        <f>M26*O26</f>
        <v>0</v>
      </c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</row>
    <row r="27" spans="1:52" s="2" customFormat="1" x14ac:dyDescent="0.3">
      <c r="A27"/>
      <c r="B27" t="s">
        <v>113</v>
      </c>
      <c r="C27" t="s">
        <v>38</v>
      </c>
      <c r="D27" t="s">
        <v>20</v>
      </c>
      <c r="E27" s="1">
        <v>1</v>
      </c>
      <c r="F27" s="6">
        <f>IF($E$5=0,0,E27/$E$5)</f>
        <v>2.0096059162798174E-5</v>
      </c>
      <c r="G27" s="6">
        <f>ROUNDDOWN(F27*$E$6,0)</f>
        <v>3</v>
      </c>
      <c r="H27" s="3">
        <v>7000000</v>
      </c>
      <c r="I27" s="3">
        <f>IF(E27=0,0,H27/E27)</f>
        <v>7000000</v>
      </c>
      <c r="J27" s="3">
        <f>I27*G27</f>
        <v>21000000</v>
      </c>
      <c r="K27" s="1">
        <v>0</v>
      </c>
      <c r="L27" s="6">
        <f>IF($E$5=0,0,K27/$E$5)</f>
        <v>0</v>
      </c>
      <c r="M27" s="1">
        <f>ROUNDDOWN(L27*$E$6,0)</f>
        <v>0</v>
      </c>
      <c r="N27" s="3">
        <v>0</v>
      </c>
      <c r="O27" s="3">
        <f>IF(K27=0,0,N27/K27)</f>
        <v>0</v>
      </c>
      <c r="P27" s="3">
        <f>M27*O27</f>
        <v>0</v>
      </c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</row>
    <row r="28" spans="1:52" s="2" customFormat="1" x14ac:dyDescent="0.3">
      <c r="A28"/>
      <c r="B28" t="s">
        <v>113</v>
      </c>
      <c r="C28" t="s">
        <v>39</v>
      </c>
      <c r="D28" t="s">
        <v>20</v>
      </c>
      <c r="E28" s="1">
        <v>0</v>
      </c>
      <c r="F28" s="6">
        <f>IF($E$5=0,0,E28/$E$5)</f>
        <v>0</v>
      </c>
      <c r="G28" s="6">
        <f>ROUNDDOWN(F28*$E$6,0)</f>
        <v>0</v>
      </c>
      <c r="H28" s="3">
        <v>0</v>
      </c>
      <c r="I28" s="3">
        <f>IF(E28=0,0,H28/E28)</f>
        <v>0</v>
      </c>
      <c r="J28" s="3">
        <f>I28*G28</f>
        <v>0</v>
      </c>
      <c r="K28" s="1">
        <v>0</v>
      </c>
      <c r="L28" s="6">
        <f>IF($E$5=0,0,K28/$E$5)</f>
        <v>0</v>
      </c>
      <c r="M28" s="1">
        <f>ROUNDDOWN(L28*$E$6,0)</f>
        <v>0</v>
      </c>
      <c r="N28" s="3">
        <v>0</v>
      </c>
      <c r="O28" s="3">
        <f>IF(K28=0,0,N28/K28)</f>
        <v>0</v>
      </c>
      <c r="P28" s="3">
        <f>M28*O28</f>
        <v>0</v>
      </c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</row>
    <row r="29" spans="1:52" s="2" customFormat="1" x14ac:dyDescent="0.3">
      <c r="A29"/>
      <c r="B29" t="s">
        <v>113</v>
      </c>
      <c r="C29" t="s">
        <v>9</v>
      </c>
      <c r="D29" t="s">
        <v>20</v>
      </c>
      <c r="E29" s="1">
        <v>1</v>
      </c>
      <c r="F29" s="6">
        <f>IF($E$5=0,0,E29/$E$5)</f>
        <v>2.0096059162798174E-5</v>
      </c>
      <c r="G29" s="6">
        <f>ROUNDDOWN(F29*$E$6,0)</f>
        <v>3</v>
      </c>
      <c r="H29" s="3">
        <v>0</v>
      </c>
      <c r="I29" s="3">
        <f>IF(E29=0,0,H29/E29)</f>
        <v>0</v>
      </c>
      <c r="J29" s="3">
        <f>I29*G29</f>
        <v>0</v>
      </c>
      <c r="K29" s="1">
        <v>4</v>
      </c>
      <c r="L29" s="6">
        <f>IF($E$5=0,0,K29/$E$5)</f>
        <v>8.0384236651192696E-5</v>
      </c>
      <c r="M29" s="1">
        <f>ROUNDDOWN(L29*$E$6,0)</f>
        <v>14</v>
      </c>
      <c r="N29" s="3">
        <v>94</v>
      </c>
      <c r="O29" s="3">
        <f>IF(K29=0,0,N29/K29)</f>
        <v>23.5</v>
      </c>
      <c r="P29" s="3">
        <f>M29*O29</f>
        <v>329</v>
      </c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</row>
    <row r="30" spans="1:52" s="2" customFormat="1" x14ac:dyDescent="0.3">
      <c r="A30"/>
      <c r="B30" t="s">
        <v>113</v>
      </c>
      <c r="C30" t="s">
        <v>10</v>
      </c>
      <c r="D30" t="s">
        <v>20</v>
      </c>
      <c r="E30" s="1">
        <v>1</v>
      </c>
      <c r="F30" s="6">
        <f>IF($E$5=0,0,E30/$E$5)</f>
        <v>2.0096059162798174E-5</v>
      </c>
      <c r="G30" s="6">
        <f>ROUNDDOWN(F30*$E$6,0)</f>
        <v>3</v>
      </c>
      <c r="H30" s="3">
        <v>0</v>
      </c>
      <c r="I30" s="3">
        <f>IF(E30=0,0,H30/E30)</f>
        <v>0</v>
      </c>
      <c r="J30" s="3">
        <f>I30*G30</f>
        <v>0</v>
      </c>
      <c r="K30" s="1">
        <v>0</v>
      </c>
      <c r="L30" s="6">
        <f>IF($E$5=0,0,K30/$E$5)</f>
        <v>0</v>
      </c>
      <c r="M30" s="1">
        <f>ROUNDDOWN(L30*$E$6,0)</f>
        <v>0</v>
      </c>
      <c r="N30" s="3">
        <v>0</v>
      </c>
      <c r="O30" s="3">
        <f>IF(K30=0,0,N30/K30)</f>
        <v>0</v>
      </c>
      <c r="P30" s="3">
        <f>M30*O30</f>
        <v>0</v>
      </c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</row>
    <row r="31" spans="1:52" s="2" customFormat="1" x14ac:dyDescent="0.3">
      <c r="A31"/>
      <c r="B31" t="s">
        <v>113</v>
      </c>
      <c r="C31" t="s">
        <v>11</v>
      </c>
      <c r="D31" t="s">
        <v>20</v>
      </c>
      <c r="E31" s="1">
        <v>0</v>
      </c>
      <c r="F31" s="6">
        <f>IF($E$5=0,0,E31/$E$5)</f>
        <v>0</v>
      </c>
      <c r="G31" s="6">
        <f>ROUNDDOWN(F31*$E$6,0)</f>
        <v>0</v>
      </c>
      <c r="H31" s="3">
        <v>0</v>
      </c>
      <c r="I31" s="3">
        <f>IF(E31=0,0,H31/E31)</f>
        <v>0</v>
      </c>
      <c r="J31" s="3">
        <f>I31*G31</f>
        <v>0</v>
      </c>
      <c r="K31" s="1">
        <v>0</v>
      </c>
      <c r="L31" s="6">
        <f>IF($E$5=0,0,K31/$E$5)</f>
        <v>0</v>
      </c>
      <c r="M31" s="1">
        <f>ROUNDDOWN(L31*$E$6,0)</f>
        <v>0</v>
      </c>
      <c r="N31" s="3">
        <v>0</v>
      </c>
      <c r="O31" s="3">
        <f>IF(K31=0,0,N31/K31)</f>
        <v>0</v>
      </c>
      <c r="P31" s="3">
        <f>M31*O31</f>
        <v>0</v>
      </c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</row>
    <row r="32" spans="1:52" s="2" customFormat="1" x14ac:dyDescent="0.3">
      <c r="A32"/>
      <c r="B32" t="s">
        <v>113</v>
      </c>
      <c r="C32" t="s">
        <v>40</v>
      </c>
      <c r="D32" t="s">
        <v>20</v>
      </c>
      <c r="E32" s="1">
        <v>1</v>
      </c>
      <c r="F32" s="6">
        <f>IF($E$5=0,0,E32/$E$5)</f>
        <v>2.0096059162798174E-5</v>
      </c>
      <c r="G32" s="6">
        <f>ROUNDDOWN(F32*$E$6,0)</f>
        <v>3</v>
      </c>
      <c r="H32" s="3">
        <v>369000</v>
      </c>
      <c r="I32" s="3">
        <f>IF(E32=0,0,H32/E32)</f>
        <v>369000</v>
      </c>
      <c r="J32" s="3">
        <f>I32*G32</f>
        <v>1107000</v>
      </c>
      <c r="K32" s="1">
        <v>0</v>
      </c>
      <c r="L32" s="6">
        <f>IF($E$5=0,0,K32/$E$5)</f>
        <v>0</v>
      </c>
      <c r="M32" s="1">
        <f>ROUNDDOWN(L32*$E$6,0)</f>
        <v>0</v>
      </c>
      <c r="N32" s="3">
        <v>0</v>
      </c>
      <c r="O32" s="3">
        <f>IF(K32=0,0,N32/K32)</f>
        <v>0</v>
      </c>
      <c r="P32" s="3">
        <f>M32*O32</f>
        <v>0</v>
      </c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</row>
    <row r="33" spans="1:52" s="2" customFormat="1" x14ac:dyDescent="0.3">
      <c r="A33"/>
      <c r="B33" t="s">
        <v>113</v>
      </c>
      <c r="C33" t="s">
        <v>41</v>
      </c>
      <c r="D33" t="s">
        <v>20</v>
      </c>
      <c r="E33" s="1">
        <v>0</v>
      </c>
      <c r="F33" s="6">
        <f>IF($E$5=0,0,E33/$E$5)</f>
        <v>0</v>
      </c>
      <c r="G33" s="6">
        <f>ROUNDDOWN(F33*$E$6,0)</f>
        <v>0</v>
      </c>
      <c r="H33" s="3">
        <v>0</v>
      </c>
      <c r="I33" s="3">
        <f>IF(E33=0,0,H33/E33)</f>
        <v>0</v>
      </c>
      <c r="J33" s="3">
        <f>I33*G33</f>
        <v>0</v>
      </c>
      <c r="K33" s="1">
        <v>0</v>
      </c>
      <c r="L33" s="6">
        <f>IF($E$5=0,0,K33/$E$5)</f>
        <v>0</v>
      </c>
      <c r="M33" s="1">
        <f>ROUNDDOWN(L33*$E$6,0)</f>
        <v>0</v>
      </c>
      <c r="N33" s="3">
        <v>0</v>
      </c>
      <c r="O33" s="3">
        <f>IF(K33=0,0,N33/K33)</f>
        <v>0</v>
      </c>
      <c r="P33" s="3">
        <f>M33*O33</f>
        <v>0</v>
      </c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</row>
    <row r="34" spans="1:52" s="2" customFormat="1" x14ac:dyDescent="0.3">
      <c r="A34"/>
      <c r="B34" t="s">
        <v>113</v>
      </c>
      <c r="C34" t="s">
        <v>12</v>
      </c>
      <c r="D34" t="s">
        <v>20</v>
      </c>
      <c r="E34" s="1">
        <v>2</v>
      </c>
      <c r="F34" s="6">
        <f>IF($E$5=0,0,E34/$E$5)</f>
        <v>4.0192118325596348E-5</v>
      </c>
      <c r="G34" s="6">
        <f>ROUNDDOWN(F34*$E$6,0)</f>
        <v>7</v>
      </c>
      <c r="H34" s="3">
        <v>0</v>
      </c>
      <c r="I34" s="3">
        <f>IF(E34=0,0,H34/E34)</f>
        <v>0</v>
      </c>
      <c r="J34" s="3">
        <f>I34*G34</f>
        <v>0</v>
      </c>
      <c r="K34" s="1">
        <v>0</v>
      </c>
      <c r="L34" s="6">
        <f>IF($E$5=0,0,K34/$E$5)</f>
        <v>0</v>
      </c>
      <c r="M34" s="1">
        <f>ROUNDDOWN(L34*$E$6,0)</f>
        <v>0</v>
      </c>
      <c r="N34" s="3">
        <v>0</v>
      </c>
      <c r="O34" s="3">
        <f>IF(K34=0,0,N34/K34)</f>
        <v>0</v>
      </c>
      <c r="P34" s="3">
        <f>M34*O34</f>
        <v>0</v>
      </c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</row>
    <row r="35" spans="1:52" s="2" customFormat="1" x14ac:dyDescent="0.3">
      <c r="A35"/>
      <c r="B35" t="s">
        <v>113</v>
      </c>
      <c r="C35" t="s">
        <v>42</v>
      </c>
      <c r="D35" t="s">
        <v>20</v>
      </c>
      <c r="E35" s="1">
        <v>1</v>
      </c>
      <c r="F35" s="6">
        <f>IF($E$5=0,0,E35/$E$5)</f>
        <v>2.0096059162798174E-5</v>
      </c>
      <c r="G35" s="6">
        <f>ROUNDDOWN(F35*$E$6,0)</f>
        <v>3</v>
      </c>
      <c r="H35" s="3">
        <v>0</v>
      </c>
      <c r="I35" s="3">
        <f>IF(E35=0,0,H35/E35)</f>
        <v>0</v>
      </c>
      <c r="J35" s="3">
        <f>I35*G35</f>
        <v>0</v>
      </c>
      <c r="K35" s="1">
        <v>0</v>
      </c>
      <c r="L35" s="6">
        <f>IF($E$5=0,0,K35/$E$5)</f>
        <v>0</v>
      </c>
      <c r="M35" s="1">
        <f>ROUNDDOWN(L35*$E$6,0)</f>
        <v>0</v>
      </c>
      <c r="N35" s="3">
        <v>0</v>
      </c>
      <c r="O35" s="3">
        <f>IF(K35=0,0,N35/K35)</f>
        <v>0</v>
      </c>
      <c r="P35" s="3">
        <f>M35*O35</f>
        <v>0</v>
      </c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</row>
    <row r="36" spans="1:52" s="2" customFormat="1" x14ac:dyDescent="0.3">
      <c r="A36"/>
      <c r="B36" t="s">
        <v>113</v>
      </c>
      <c r="C36" t="s">
        <v>13</v>
      </c>
      <c r="D36" t="s">
        <v>20</v>
      </c>
      <c r="E36" s="1">
        <v>2</v>
      </c>
      <c r="F36" s="6">
        <f>IF($E$5=0,0,E36/$E$5)</f>
        <v>4.0192118325596348E-5</v>
      </c>
      <c r="G36" s="6">
        <f>ROUNDDOWN(F36*$E$6,0)</f>
        <v>7</v>
      </c>
      <c r="H36" s="3">
        <v>0</v>
      </c>
      <c r="I36" s="3">
        <f>IF(E36=0,0,H36/E36)</f>
        <v>0</v>
      </c>
      <c r="J36" s="3">
        <f>I36*G36</f>
        <v>0</v>
      </c>
      <c r="K36" s="1">
        <v>0</v>
      </c>
      <c r="L36" s="6">
        <f>IF($E$5=0,0,K36/$E$5)</f>
        <v>0</v>
      </c>
      <c r="M36" s="1">
        <f>ROUNDDOWN(L36*$E$6,0)</f>
        <v>0</v>
      </c>
      <c r="N36" s="3">
        <v>0</v>
      </c>
      <c r="O36" s="3">
        <f>IF(K36=0,0,N36/K36)</f>
        <v>0</v>
      </c>
      <c r="P36" s="3">
        <f>M36*O36</f>
        <v>0</v>
      </c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</row>
    <row r="37" spans="1:52" x14ac:dyDescent="0.3">
      <c r="Q37"/>
    </row>
    <row r="38" spans="1:52" x14ac:dyDescent="0.3">
      <c r="E38" s="1">
        <f>SUM(E7:E36)</f>
        <v>47</v>
      </c>
      <c r="G38" s="6">
        <f>SUM(G7:G36)</f>
        <v>165</v>
      </c>
      <c r="H38" s="3">
        <f>SUM(H7:H36)</f>
        <v>7758909</v>
      </c>
      <c r="I38" s="3">
        <f>IF(E38=0,0,H38/E38)</f>
        <v>165083.17021276595</v>
      </c>
      <c r="J38" s="3">
        <f>G38*I38</f>
        <v>27238723.08510638</v>
      </c>
      <c r="K38" s="1">
        <f>SUM(K7:K36)</f>
        <v>7</v>
      </c>
      <c r="M38" s="1">
        <f>SUM(M7:M36)</f>
        <v>23</v>
      </c>
      <c r="N38" s="3">
        <f>SUM(N7:N36)</f>
        <v>494</v>
      </c>
      <c r="O38" s="3">
        <f>IF(K38=0,0,N38/K38)</f>
        <v>70.571428571428569</v>
      </c>
      <c r="P38" s="3">
        <f>M38*O38</f>
        <v>1623.1428571428571</v>
      </c>
      <c r="Q38"/>
    </row>
    <row r="39" spans="1:52" x14ac:dyDescent="0.3">
      <c r="Q39"/>
    </row>
    <row r="40" spans="1:52" x14ac:dyDescent="0.3">
      <c r="Q40"/>
    </row>
    <row r="41" spans="1:52" x14ac:dyDescent="0.3">
      <c r="Q41"/>
    </row>
    <row r="42" spans="1:52" x14ac:dyDescent="0.3">
      <c r="Q42"/>
    </row>
    <row r="43" spans="1:52" x14ac:dyDescent="0.3">
      <c r="Q43"/>
    </row>
    <row r="44" spans="1:52" x14ac:dyDescent="0.3">
      <c r="Q44"/>
    </row>
    <row r="45" spans="1:52" x14ac:dyDescent="0.3">
      <c r="Q45"/>
    </row>
    <row r="46" spans="1:52" x14ac:dyDescent="0.3">
      <c r="Q46"/>
    </row>
    <row r="47" spans="1:52" x14ac:dyDescent="0.3">
      <c r="Q47"/>
    </row>
    <row r="48" spans="1:52" x14ac:dyDescent="0.3">
      <c r="Q48"/>
    </row>
    <row r="49" spans="17:17" x14ac:dyDescent="0.3">
      <c r="Q49"/>
    </row>
    <row r="50" spans="17:17" x14ac:dyDescent="0.3">
      <c r="Q50"/>
    </row>
    <row r="51" spans="17:17" x14ac:dyDescent="0.3">
      <c r="Q51"/>
    </row>
    <row r="52" spans="17:17" x14ac:dyDescent="0.3">
      <c r="Q52"/>
    </row>
    <row r="53" spans="17:17" x14ac:dyDescent="0.3">
      <c r="Q53"/>
    </row>
    <row r="54" spans="17:17" x14ac:dyDescent="0.3">
      <c r="Q54"/>
    </row>
    <row r="55" spans="17:17" x14ac:dyDescent="0.3">
      <c r="Q55"/>
    </row>
    <row r="56" spans="17:17" x14ac:dyDescent="0.3">
      <c r="Q56"/>
    </row>
    <row r="57" spans="17:17" x14ac:dyDescent="0.3">
      <c r="Q57"/>
    </row>
    <row r="58" spans="17:17" x14ac:dyDescent="0.3">
      <c r="Q58"/>
    </row>
    <row r="59" spans="17:17" x14ac:dyDescent="0.3">
      <c r="Q59"/>
    </row>
    <row r="60" spans="17:17" x14ac:dyDescent="0.3">
      <c r="Q60"/>
    </row>
    <row r="61" spans="17:17" x14ac:dyDescent="0.3">
      <c r="Q61"/>
    </row>
    <row r="62" spans="17:17" x14ac:dyDescent="0.3">
      <c r="Q62"/>
    </row>
    <row r="63" spans="17:17" x14ac:dyDescent="0.3">
      <c r="Q63"/>
    </row>
    <row r="64" spans="17:17" x14ac:dyDescent="0.3">
      <c r="Q64"/>
    </row>
    <row r="65" spans="17:17" x14ac:dyDescent="0.3">
      <c r="Q65"/>
    </row>
    <row r="66" spans="17:17" x14ac:dyDescent="0.3">
      <c r="Q66"/>
    </row>
    <row r="67" spans="17:17" x14ac:dyDescent="0.3">
      <c r="Q67"/>
    </row>
    <row r="68" spans="17:17" x14ac:dyDescent="0.3">
      <c r="Q68"/>
    </row>
    <row r="69" spans="17:17" x14ac:dyDescent="0.3">
      <c r="Q69"/>
    </row>
    <row r="70" spans="17:17" x14ac:dyDescent="0.3">
      <c r="Q70"/>
    </row>
    <row r="71" spans="17:17" x14ac:dyDescent="0.3">
      <c r="Q71"/>
    </row>
    <row r="72" spans="17:17" x14ac:dyDescent="0.3">
      <c r="Q72"/>
    </row>
    <row r="73" spans="17:17" x14ac:dyDescent="0.3">
      <c r="Q73"/>
    </row>
    <row r="74" spans="17:17" x14ac:dyDescent="0.3">
      <c r="Q74"/>
    </row>
    <row r="75" spans="17:17" x14ac:dyDescent="0.3">
      <c r="Q75"/>
    </row>
    <row r="76" spans="17:17" x14ac:dyDescent="0.3">
      <c r="Q76"/>
    </row>
    <row r="77" spans="17:17" x14ac:dyDescent="0.3">
      <c r="Q77"/>
    </row>
    <row r="78" spans="17:17" x14ac:dyDescent="0.3">
      <c r="Q78"/>
    </row>
    <row r="79" spans="17:17" x14ac:dyDescent="0.3">
      <c r="Q79"/>
    </row>
    <row r="80" spans="17:17" x14ac:dyDescent="0.3">
      <c r="Q80"/>
    </row>
    <row r="81" spans="17:17" x14ac:dyDescent="0.3">
      <c r="Q81"/>
    </row>
    <row r="82" spans="17:17" x14ac:dyDescent="0.3">
      <c r="Q82"/>
    </row>
    <row r="83" spans="17:17" x14ac:dyDescent="0.3">
      <c r="Q83"/>
    </row>
    <row r="84" spans="17:17" x14ac:dyDescent="0.3">
      <c r="Q84"/>
    </row>
    <row r="85" spans="17:17" x14ac:dyDescent="0.3">
      <c r="Q85"/>
    </row>
    <row r="86" spans="17:17" x14ac:dyDescent="0.3">
      <c r="Q86"/>
    </row>
    <row r="87" spans="17:17" x14ac:dyDescent="0.3">
      <c r="Q87"/>
    </row>
    <row r="88" spans="17:17" x14ac:dyDescent="0.3">
      <c r="Q88"/>
    </row>
    <row r="89" spans="17:17" x14ac:dyDescent="0.3">
      <c r="Q89"/>
    </row>
    <row r="90" spans="17:17" x14ac:dyDescent="0.3">
      <c r="Q90"/>
    </row>
    <row r="91" spans="17:17" x14ac:dyDescent="0.3">
      <c r="Q91"/>
    </row>
    <row r="92" spans="17:17" x14ac:dyDescent="0.3">
      <c r="Q92"/>
    </row>
    <row r="93" spans="17:17" x14ac:dyDescent="0.3">
      <c r="Q93"/>
    </row>
    <row r="94" spans="17:17" x14ac:dyDescent="0.3">
      <c r="Q94"/>
    </row>
    <row r="95" spans="17:17" x14ac:dyDescent="0.3">
      <c r="Q95"/>
    </row>
    <row r="96" spans="17:17" x14ac:dyDescent="0.3">
      <c r="Q96"/>
    </row>
    <row r="97" spans="17:17" x14ac:dyDescent="0.3">
      <c r="Q97"/>
    </row>
    <row r="98" spans="17:17" x14ac:dyDescent="0.3">
      <c r="Q98"/>
    </row>
    <row r="99" spans="17:17" x14ac:dyDescent="0.3">
      <c r="Q99"/>
    </row>
    <row r="100" spans="17:17" x14ac:dyDescent="0.3">
      <c r="Q100"/>
    </row>
    <row r="101" spans="17:17" x14ac:dyDescent="0.3">
      <c r="Q101"/>
    </row>
    <row r="102" spans="17:17" x14ac:dyDescent="0.3">
      <c r="Q102"/>
    </row>
    <row r="103" spans="17:17" x14ac:dyDescent="0.3">
      <c r="Q103"/>
    </row>
    <row r="104" spans="17:17" x14ac:dyDescent="0.3">
      <c r="Q104"/>
    </row>
    <row r="105" spans="17:17" x14ac:dyDescent="0.3">
      <c r="Q105"/>
    </row>
    <row r="106" spans="17:17" x14ac:dyDescent="0.3">
      <c r="Q106"/>
    </row>
    <row r="107" spans="17:17" x14ac:dyDescent="0.3">
      <c r="Q107"/>
    </row>
    <row r="108" spans="17:17" x14ac:dyDescent="0.3">
      <c r="Q108"/>
    </row>
    <row r="109" spans="17:17" x14ac:dyDescent="0.3">
      <c r="Q109"/>
    </row>
    <row r="110" spans="17:17" x14ac:dyDescent="0.3">
      <c r="Q110"/>
    </row>
    <row r="111" spans="17:17" x14ac:dyDescent="0.3">
      <c r="Q111"/>
    </row>
    <row r="112" spans="17:17" x14ac:dyDescent="0.3">
      <c r="Q112"/>
    </row>
    <row r="113" spans="17:17" x14ac:dyDescent="0.3">
      <c r="Q113"/>
    </row>
    <row r="114" spans="17:17" x14ac:dyDescent="0.3">
      <c r="Q114"/>
    </row>
    <row r="115" spans="17:17" x14ac:dyDescent="0.3">
      <c r="Q115"/>
    </row>
    <row r="116" spans="17:17" x14ac:dyDescent="0.3">
      <c r="Q116"/>
    </row>
    <row r="117" spans="17:17" x14ac:dyDescent="0.3">
      <c r="Q117"/>
    </row>
    <row r="118" spans="17:17" x14ac:dyDescent="0.3">
      <c r="Q118"/>
    </row>
    <row r="119" spans="17:17" x14ac:dyDescent="0.3">
      <c r="Q119"/>
    </row>
    <row r="120" spans="17:17" x14ac:dyDescent="0.3">
      <c r="Q120"/>
    </row>
  </sheetData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17738-0EF0-47D1-BE71-DBB0C48C4E3D}">
  <dimension ref="B4:P38"/>
  <sheetViews>
    <sheetView workbookViewId="0"/>
  </sheetViews>
  <sheetFormatPr defaultRowHeight="14.4" x14ac:dyDescent="0.3"/>
  <cols>
    <col min="2" max="2" width="40.77734375" customWidth="1"/>
    <col min="3" max="3" width="35.21875" customWidth="1"/>
    <col min="4" max="4" width="18.5546875" customWidth="1"/>
    <col min="5" max="5" width="18.5546875" style="1" customWidth="1"/>
    <col min="6" max="7" width="18.5546875" style="6" customWidth="1"/>
    <col min="8" max="10" width="18.5546875" style="3" customWidth="1"/>
    <col min="11" max="11" width="18.5546875" style="1" customWidth="1"/>
    <col min="12" max="12" width="18.5546875" style="6" customWidth="1"/>
    <col min="13" max="13" width="18.5546875" style="1" customWidth="1"/>
    <col min="14" max="16" width="18.5546875" style="3" customWidth="1"/>
  </cols>
  <sheetData>
    <row r="4" spans="2:16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13" t="s">
        <v>22</v>
      </c>
      <c r="I4" s="13" t="s">
        <v>43</v>
      </c>
      <c r="J4" s="13" t="s">
        <v>44</v>
      </c>
      <c r="K4" s="9" t="s">
        <v>46</v>
      </c>
      <c r="L4" s="11" t="s">
        <v>48</v>
      </c>
      <c r="M4" s="9" t="s">
        <v>49</v>
      </c>
      <c r="N4" s="13" t="s">
        <v>47</v>
      </c>
      <c r="O4" s="13" t="s">
        <v>51</v>
      </c>
      <c r="P4" s="13" t="s">
        <v>50</v>
      </c>
    </row>
    <row r="5" spans="2:16" x14ac:dyDescent="0.3">
      <c r="B5" s="8" t="s">
        <v>85</v>
      </c>
      <c r="C5" s="8" t="s">
        <v>91</v>
      </c>
      <c r="D5" s="8" t="s">
        <v>6</v>
      </c>
      <c r="E5" s="10">
        <v>49225</v>
      </c>
      <c r="F5" s="12" t="s">
        <v>14</v>
      </c>
      <c r="G5" s="12" t="s">
        <v>18</v>
      </c>
      <c r="H5" s="14"/>
      <c r="I5" s="14"/>
      <c r="J5" s="14" t="s">
        <v>45</v>
      </c>
      <c r="K5" s="10"/>
      <c r="L5" s="12"/>
      <c r="M5" s="10"/>
      <c r="N5" s="14"/>
      <c r="O5" s="14"/>
      <c r="P5" s="14" t="s">
        <v>52</v>
      </c>
    </row>
    <row r="6" spans="2:16" x14ac:dyDescent="0.3">
      <c r="B6" s="8" t="s">
        <v>55</v>
      </c>
      <c r="C6" s="8" t="s">
        <v>53</v>
      </c>
      <c r="D6" s="8" t="s">
        <v>6</v>
      </c>
      <c r="E6" s="10">
        <v>181163</v>
      </c>
      <c r="F6" s="12"/>
      <c r="G6" s="12"/>
      <c r="H6" s="14"/>
      <c r="I6" s="14"/>
      <c r="J6" s="14"/>
      <c r="K6" s="10"/>
      <c r="L6" s="12"/>
      <c r="M6" s="10"/>
      <c r="N6" s="14"/>
      <c r="O6" s="14"/>
      <c r="P6" s="14"/>
    </row>
    <row r="7" spans="2:16" x14ac:dyDescent="0.3">
      <c r="B7" t="s">
        <v>114</v>
      </c>
      <c r="C7" t="s">
        <v>23</v>
      </c>
      <c r="D7" t="s">
        <v>20</v>
      </c>
      <c r="E7" s="1">
        <v>0</v>
      </c>
      <c r="F7" s="6">
        <f>IF($E$5=0,0,E7/$E$5)</f>
        <v>0</v>
      </c>
      <c r="G7" s="6">
        <f>ROUNDDOWN(F7*$E$6,0)</f>
        <v>0</v>
      </c>
      <c r="H7" s="3">
        <v>0</v>
      </c>
      <c r="I7" s="3">
        <f>IF(E7=0,0,H7/E7)</f>
        <v>0</v>
      </c>
      <c r="J7" s="3">
        <f>I7*G7</f>
        <v>0</v>
      </c>
      <c r="K7" s="1">
        <v>0</v>
      </c>
      <c r="L7" s="6">
        <f>IF($E$5=0,0,K7/$E$5)</f>
        <v>0</v>
      </c>
      <c r="M7" s="1">
        <f>ROUNDDOWN(L7*$E$6,0)</f>
        <v>0</v>
      </c>
      <c r="N7" s="3">
        <v>0</v>
      </c>
      <c r="O7" s="3">
        <f>IF(K7=0,0,N7/K7)</f>
        <v>0</v>
      </c>
      <c r="P7" s="3">
        <f>M7*O7</f>
        <v>0</v>
      </c>
    </row>
    <row r="8" spans="2:16" x14ac:dyDescent="0.3">
      <c r="B8" t="s">
        <v>114</v>
      </c>
      <c r="C8" t="s">
        <v>21</v>
      </c>
      <c r="D8" t="s">
        <v>20</v>
      </c>
      <c r="E8" s="1">
        <v>1</v>
      </c>
      <c r="F8" s="6">
        <f>IF($E$5=0,0,E8/$E$5)</f>
        <v>2.031488065007618E-5</v>
      </c>
      <c r="G8" s="6">
        <f>ROUNDDOWN(F8*$E$6,0)</f>
        <v>3</v>
      </c>
      <c r="H8" s="3">
        <v>31200</v>
      </c>
      <c r="I8" s="3">
        <f>IF(E8=0,0,H8/E8)</f>
        <v>31200</v>
      </c>
      <c r="J8" s="3">
        <f>I8*G8</f>
        <v>93600</v>
      </c>
      <c r="K8" s="1">
        <v>0</v>
      </c>
      <c r="L8" s="6">
        <f>IF($E$5=0,0,K8/$E$5)</f>
        <v>0</v>
      </c>
      <c r="M8" s="1">
        <f>ROUNDDOWN(L8*$E$6,0)</f>
        <v>0</v>
      </c>
      <c r="N8" s="3">
        <v>0</v>
      </c>
      <c r="O8" s="3">
        <f>IF(K8=0,0,N8/K8)</f>
        <v>0</v>
      </c>
      <c r="P8" s="3">
        <f>M8*O8</f>
        <v>0</v>
      </c>
    </row>
    <row r="9" spans="2:16" x14ac:dyDescent="0.3">
      <c r="B9" t="s">
        <v>114</v>
      </c>
      <c r="C9" t="s">
        <v>24</v>
      </c>
      <c r="D9" t="s">
        <v>20</v>
      </c>
      <c r="E9" s="1">
        <v>0</v>
      </c>
      <c r="F9" s="6">
        <f>IF($E$5=0,0,E9/$E$5)</f>
        <v>0</v>
      </c>
      <c r="G9" s="6">
        <f>ROUNDDOWN(F9*$E$6,0)</f>
        <v>0</v>
      </c>
      <c r="H9" s="3">
        <v>0</v>
      </c>
      <c r="I9" s="3">
        <f>IF(E9=0,0,H9/E9)</f>
        <v>0</v>
      </c>
      <c r="J9" s="3">
        <f>I9*G9</f>
        <v>0</v>
      </c>
      <c r="K9" s="1">
        <v>0</v>
      </c>
      <c r="L9" s="6">
        <f>IF($E$5=0,0,K9/$E$5)</f>
        <v>0</v>
      </c>
      <c r="M9" s="1">
        <f>ROUNDDOWN(L9*$E$6,0)</f>
        <v>0</v>
      </c>
      <c r="N9" s="3">
        <v>0</v>
      </c>
      <c r="O9" s="3">
        <f>IF(K9=0,0,N9/K9)</f>
        <v>0</v>
      </c>
      <c r="P9" s="3">
        <f>M9*O9</f>
        <v>0</v>
      </c>
    </row>
    <row r="10" spans="2:16" x14ac:dyDescent="0.3">
      <c r="B10" t="s">
        <v>114</v>
      </c>
      <c r="C10" t="s">
        <v>25</v>
      </c>
      <c r="D10" t="s">
        <v>20</v>
      </c>
      <c r="E10" s="1">
        <v>2</v>
      </c>
      <c r="F10" s="6">
        <f>IF($E$5=0,0,E10/$E$5)</f>
        <v>4.0629761300152361E-5</v>
      </c>
      <c r="G10" s="6">
        <f>ROUNDDOWN(F10*$E$6,0)</f>
        <v>7</v>
      </c>
      <c r="H10" s="3">
        <v>76000</v>
      </c>
      <c r="I10" s="3">
        <f>IF(E10=0,0,H10/E10)</f>
        <v>38000</v>
      </c>
      <c r="J10" s="3">
        <f>I10*G10</f>
        <v>266000</v>
      </c>
      <c r="K10" s="1">
        <v>0</v>
      </c>
      <c r="L10" s="6">
        <f>IF($E$5=0,0,K10/$E$5)</f>
        <v>0</v>
      </c>
      <c r="M10" s="1">
        <f>ROUNDDOWN(L10*$E$6,0)</f>
        <v>0</v>
      </c>
      <c r="N10" s="3">
        <v>0</v>
      </c>
      <c r="O10" s="3">
        <f>IF(K10=0,0,N10/K10)</f>
        <v>0</v>
      </c>
      <c r="P10" s="3">
        <f>M10*O10</f>
        <v>0</v>
      </c>
    </row>
    <row r="11" spans="2:16" x14ac:dyDescent="0.3">
      <c r="B11" t="s">
        <v>114</v>
      </c>
      <c r="C11" t="s">
        <v>82</v>
      </c>
      <c r="D11" t="s">
        <v>20</v>
      </c>
      <c r="E11" s="1">
        <v>1</v>
      </c>
      <c r="F11" s="6">
        <f>IF($E$5=0,0,E11/$E$5)</f>
        <v>2.031488065007618E-5</v>
      </c>
      <c r="G11" s="6">
        <f>ROUNDDOWN(F11*$E$6,0)</f>
        <v>3</v>
      </c>
      <c r="H11" s="3">
        <v>4000</v>
      </c>
      <c r="I11" s="3">
        <f>IF(E11=0,0,H11/E11)</f>
        <v>4000</v>
      </c>
      <c r="J11" s="3">
        <f>I11*G11</f>
        <v>12000</v>
      </c>
      <c r="K11" s="1">
        <v>1</v>
      </c>
      <c r="L11" s="6">
        <f>IF($E$5=0,0,K11/$E$5)</f>
        <v>2.031488065007618E-5</v>
      </c>
      <c r="M11" s="1">
        <f>ROUNDDOWN(L11*$E$6,0)</f>
        <v>3</v>
      </c>
      <c r="N11" s="3">
        <v>199</v>
      </c>
      <c r="O11" s="3">
        <f>IF(K11=0,0,N11/K11)</f>
        <v>199</v>
      </c>
      <c r="P11" s="3">
        <f>M11*O11</f>
        <v>597</v>
      </c>
    </row>
    <row r="12" spans="2:16" x14ac:dyDescent="0.3">
      <c r="B12" t="s">
        <v>114</v>
      </c>
      <c r="C12" t="s">
        <v>3</v>
      </c>
      <c r="D12" t="s">
        <v>20</v>
      </c>
      <c r="E12" s="1">
        <v>0</v>
      </c>
      <c r="F12" s="6">
        <f>IF($E$5=0,0,E12/$E$5)</f>
        <v>0</v>
      </c>
      <c r="G12" s="6">
        <f>ROUNDDOWN(F12*$E$6,0)</f>
        <v>0</v>
      </c>
      <c r="H12" s="3">
        <v>0</v>
      </c>
      <c r="I12" s="3">
        <f>IF(E12=0,0,H12/E12)</f>
        <v>0</v>
      </c>
      <c r="J12" s="3">
        <f>I12*G12</f>
        <v>0</v>
      </c>
      <c r="K12" s="1">
        <v>0</v>
      </c>
      <c r="L12" s="6">
        <f>IF($E$5=0,0,K12/$E$5)</f>
        <v>0</v>
      </c>
      <c r="M12" s="1">
        <f>ROUNDDOWN(L12*$E$6,0)</f>
        <v>0</v>
      </c>
      <c r="N12" s="3">
        <v>0</v>
      </c>
      <c r="O12" s="3">
        <f>IF(K12=0,0,N12/K12)</f>
        <v>0</v>
      </c>
      <c r="P12" s="3">
        <f>M12*O12</f>
        <v>0</v>
      </c>
    </row>
    <row r="13" spans="2:16" x14ac:dyDescent="0.3">
      <c r="B13" t="s">
        <v>114</v>
      </c>
      <c r="C13" t="s">
        <v>4</v>
      </c>
      <c r="D13" t="s">
        <v>20</v>
      </c>
      <c r="E13" s="1">
        <v>0</v>
      </c>
      <c r="F13" s="6">
        <f>IF($E$5=0,0,E13/$E$5)</f>
        <v>0</v>
      </c>
      <c r="G13" s="6">
        <f>ROUNDDOWN(F13*$E$6,0)</f>
        <v>0</v>
      </c>
      <c r="H13" s="3">
        <v>0</v>
      </c>
      <c r="I13" s="3">
        <f>IF(E13=0,0,H13/E13)</f>
        <v>0</v>
      </c>
      <c r="J13" s="3">
        <f>I13*G13</f>
        <v>0</v>
      </c>
      <c r="K13" s="1">
        <v>0</v>
      </c>
      <c r="L13" s="6">
        <f>IF($E$5=0,0,K13/$E$5)</f>
        <v>0</v>
      </c>
      <c r="M13" s="1">
        <f>ROUNDDOWN(L13*$E$6,0)</f>
        <v>0</v>
      </c>
      <c r="N13" s="3">
        <v>0</v>
      </c>
      <c r="O13" s="3">
        <f>IF(K13=0,0,N13/K13)</f>
        <v>0</v>
      </c>
      <c r="P13" s="3">
        <f>M13*O13</f>
        <v>0</v>
      </c>
    </row>
    <row r="14" spans="2:16" x14ac:dyDescent="0.3">
      <c r="B14" t="s">
        <v>114</v>
      </c>
      <c r="C14" t="s">
        <v>27</v>
      </c>
      <c r="D14" t="s">
        <v>20</v>
      </c>
      <c r="E14" s="1">
        <v>0</v>
      </c>
      <c r="F14" s="6">
        <f>IF($E$5=0,0,E14/$E$5)</f>
        <v>0</v>
      </c>
      <c r="G14" s="6">
        <f>ROUNDDOWN(F14*$E$6,0)</f>
        <v>0</v>
      </c>
      <c r="H14" s="3">
        <v>0</v>
      </c>
      <c r="I14" s="3">
        <f>IF(E14=0,0,H14/E14)</f>
        <v>0</v>
      </c>
      <c r="J14" s="3">
        <f>I14*G14</f>
        <v>0</v>
      </c>
      <c r="K14" s="1">
        <v>0</v>
      </c>
      <c r="L14" s="6">
        <f>IF($E$5=0,0,K14/$E$5)</f>
        <v>0</v>
      </c>
      <c r="M14" s="1">
        <f>ROUNDDOWN(L14*$E$6,0)</f>
        <v>0</v>
      </c>
      <c r="N14" s="3">
        <v>0</v>
      </c>
      <c r="O14" s="3">
        <f>IF(K14=0,0,N14/K14)</f>
        <v>0</v>
      </c>
      <c r="P14" s="3">
        <f>M14*O14</f>
        <v>0</v>
      </c>
    </row>
    <row r="15" spans="2:16" x14ac:dyDescent="0.3">
      <c r="B15" t="s">
        <v>114</v>
      </c>
      <c r="C15" t="s">
        <v>7</v>
      </c>
      <c r="D15" t="s">
        <v>20</v>
      </c>
      <c r="E15" s="1">
        <v>0</v>
      </c>
      <c r="F15" s="6">
        <f>IF($E$5=0,0,E15/$E$5)</f>
        <v>0</v>
      </c>
      <c r="G15" s="6">
        <f>ROUNDDOWN(F15*$E$6,0)</f>
        <v>0</v>
      </c>
      <c r="H15" s="3">
        <v>0</v>
      </c>
      <c r="I15" s="3">
        <f>IF(E15=0,0,H15/E15)</f>
        <v>0</v>
      </c>
      <c r="J15" s="3">
        <f>I15*G15</f>
        <v>0</v>
      </c>
      <c r="K15" s="1">
        <v>0</v>
      </c>
      <c r="L15" s="6">
        <f>IF($E$5=0,0,K15/$E$5)</f>
        <v>0</v>
      </c>
      <c r="M15" s="1">
        <f>ROUNDDOWN(L15*$E$6,0)</f>
        <v>0</v>
      </c>
      <c r="N15" s="3">
        <v>0</v>
      </c>
      <c r="O15" s="3">
        <f>IF(K15=0,0,N15/K15)</f>
        <v>0</v>
      </c>
      <c r="P15" s="3">
        <f>M15*O15</f>
        <v>0</v>
      </c>
    </row>
    <row r="16" spans="2:16" x14ac:dyDescent="0.3">
      <c r="B16" t="s">
        <v>114</v>
      </c>
      <c r="C16" t="s">
        <v>28</v>
      </c>
      <c r="D16" t="s">
        <v>20</v>
      </c>
      <c r="E16" s="1">
        <v>0</v>
      </c>
      <c r="F16" s="6">
        <f>IF($E$5=0,0,E16/$E$5)</f>
        <v>0</v>
      </c>
      <c r="G16" s="6">
        <f>ROUNDDOWN(F16*$E$6,0)</f>
        <v>0</v>
      </c>
      <c r="H16" s="3">
        <v>0</v>
      </c>
      <c r="I16" s="3">
        <f>IF(E16=0,0,H16/E16)</f>
        <v>0</v>
      </c>
      <c r="J16" s="3">
        <f>I16*G16</f>
        <v>0</v>
      </c>
      <c r="K16" s="1">
        <v>0</v>
      </c>
      <c r="L16" s="6">
        <f>IF($E$5=0,0,K16/$E$5)</f>
        <v>0</v>
      </c>
      <c r="M16" s="1">
        <f>ROUNDDOWN(L16*$E$6,0)</f>
        <v>0</v>
      </c>
      <c r="N16" s="3">
        <v>0</v>
      </c>
      <c r="O16" s="3">
        <f>IF(K16=0,0,N16/K16)</f>
        <v>0</v>
      </c>
      <c r="P16" s="3">
        <f>M16*O16</f>
        <v>0</v>
      </c>
    </row>
    <row r="17" spans="2:16" x14ac:dyDescent="0.3">
      <c r="B17" t="s">
        <v>114</v>
      </c>
      <c r="C17" t="s">
        <v>29</v>
      </c>
      <c r="D17" t="s">
        <v>20</v>
      </c>
      <c r="E17" s="1">
        <v>0</v>
      </c>
      <c r="F17" s="6">
        <f>IF($E$5=0,0,E17/$E$5)</f>
        <v>0</v>
      </c>
      <c r="G17" s="6">
        <f>ROUNDDOWN(F17*$E$6,0)</f>
        <v>0</v>
      </c>
      <c r="H17" s="3">
        <v>0</v>
      </c>
      <c r="I17" s="3">
        <f>IF(E17=0,0,H17/E17)</f>
        <v>0</v>
      </c>
      <c r="J17" s="3">
        <f>I17*G17</f>
        <v>0</v>
      </c>
      <c r="K17" s="1">
        <v>0</v>
      </c>
      <c r="L17" s="6">
        <f>IF($E$5=0,0,K17/$E$5)</f>
        <v>0</v>
      </c>
      <c r="M17" s="1">
        <f>ROUNDDOWN(L17*$E$6,0)</f>
        <v>0</v>
      </c>
      <c r="N17" s="3">
        <v>0</v>
      </c>
      <c r="O17" s="3">
        <f>IF(K17=0,0,N17/K17)</f>
        <v>0</v>
      </c>
      <c r="P17" s="3">
        <f>M17*O17</f>
        <v>0</v>
      </c>
    </row>
    <row r="18" spans="2:16" x14ac:dyDescent="0.3">
      <c r="B18" t="s">
        <v>114</v>
      </c>
      <c r="C18" t="s">
        <v>30</v>
      </c>
      <c r="D18" t="s">
        <v>20</v>
      </c>
      <c r="E18" s="1">
        <v>1</v>
      </c>
      <c r="F18" s="6">
        <f>IF($E$5=0,0,E18/$E$5)</f>
        <v>2.031488065007618E-5</v>
      </c>
      <c r="G18" s="6">
        <f>ROUNDDOWN(F18*$E$6,0)</f>
        <v>3</v>
      </c>
      <c r="H18" s="3">
        <v>0</v>
      </c>
      <c r="I18" s="3">
        <f>IF(E18=0,0,H18/E18)</f>
        <v>0</v>
      </c>
      <c r="J18" s="3">
        <f>I18*G18</f>
        <v>0</v>
      </c>
      <c r="K18" s="1">
        <v>0</v>
      </c>
      <c r="L18" s="6">
        <f>IF($E$5=0,0,K18/$E$5)</f>
        <v>0</v>
      </c>
      <c r="M18" s="1">
        <f>ROUNDDOWN(L18*$E$6,0)</f>
        <v>0</v>
      </c>
      <c r="N18" s="3">
        <v>0</v>
      </c>
      <c r="O18" s="3">
        <f>IF(K18=0,0,N18/K18)</f>
        <v>0</v>
      </c>
      <c r="P18" s="3">
        <f>M18*O18</f>
        <v>0</v>
      </c>
    </row>
    <row r="19" spans="2:16" x14ac:dyDescent="0.3">
      <c r="B19" t="s">
        <v>114</v>
      </c>
      <c r="C19" t="s">
        <v>31</v>
      </c>
      <c r="D19" t="s">
        <v>20</v>
      </c>
      <c r="E19" s="1">
        <v>0</v>
      </c>
      <c r="F19" s="6">
        <f>IF($E$5=0,0,E19/$E$5)</f>
        <v>0</v>
      </c>
      <c r="G19" s="6">
        <f>ROUNDDOWN(F19*$E$6,0)</f>
        <v>0</v>
      </c>
      <c r="H19" s="3">
        <v>0</v>
      </c>
      <c r="I19" s="3">
        <f>IF(E19=0,0,H19/E19)</f>
        <v>0</v>
      </c>
      <c r="J19" s="3">
        <f>I19*G19</f>
        <v>0</v>
      </c>
      <c r="K19" s="1">
        <v>0</v>
      </c>
      <c r="L19" s="6">
        <f>IF($E$5=0,0,K19/$E$5)</f>
        <v>0</v>
      </c>
      <c r="M19" s="1">
        <f>ROUNDDOWN(L19*$E$6,0)</f>
        <v>0</v>
      </c>
      <c r="N19" s="3">
        <v>0</v>
      </c>
      <c r="O19" s="3">
        <f>IF(K19=0,0,N19/K19)</f>
        <v>0</v>
      </c>
      <c r="P19" s="3">
        <f>M19*O19</f>
        <v>0</v>
      </c>
    </row>
    <row r="20" spans="2:16" x14ac:dyDescent="0.3">
      <c r="B20" t="s">
        <v>114</v>
      </c>
      <c r="C20" t="s">
        <v>32</v>
      </c>
      <c r="D20" t="s">
        <v>20</v>
      </c>
      <c r="E20" s="1">
        <v>1</v>
      </c>
      <c r="F20" s="6">
        <f>IF($E$5=0,0,E20/$E$5)</f>
        <v>2.031488065007618E-5</v>
      </c>
      <c r="G20" s="6">
        <f>ROUNDDOWN(F20*$E$6,0)</f>
        <v>3</v>
      </c>
      <c r="H20" s="3">
        <v>60000</v>
      </c>
      <c r="I20" s="3">
        <f>IF(E20=0,0,H20/E20)</f>
        <v>60000</v>
      </c>
      <c r="J20" s="3">
        <f>I20*G20</f>
        <v>180000</v>
      </c>
      <c r="K20" s="1">
        <v>0</v>
      </c>
      <c r="L20" s="6">
        <f>IF($E$5=0,0,K20/$E$5)</f>
        <v>0</v>
      </c>
      <c r="M20" s="1">
        <f>ROUNDDOWN(L20*$E$6,0)</f>
        <v>0</v>
      </c>
      <c r="N20" s="3">
        <v>0</v>
      </c>
      <c r="O20" s="3">
        <f>IF(K20=0,0,N20/K20)</f>
        <v>0</v>
      </c>
      <c r="P20" s="3">
        <f>M20*O20</f>
        <v>0</v>
      </c>
    </row>
    <row r="21" spans="2:16" x14ac:dyDescent="0.3">
      <c r="B21" t="s">
        <v>114</v>
      </c>
      <c r="C21" t="s">
        <v>33</v>
      </c>
      <c r="D21" t="s">
        <v>20</v>
      </c>
      <c r="E21" s="1">
        <v>0</v>
      </c>
      <c r="F21" s="6">
        <f>IF($E$5=0,0,E21/$E$5)</f>
        <v>0</v>
      </c>
      <c r="G21" s="6">
        <f>ROUNDDOWN(F21*$E$6,0)</f>
        <v>0</v>
      </c>
      <c r="H21" s="3">
        <v>0</v>
      </c>
      <c r="I21" s="3">
        <f>IF(E21=0,0,H21/E21)</f>
        <v>0</v>
      </c>
      <c r="J21" s="3">
        <f>I21*G21</f>
        <v>0</v>
      </c>
      <c r="K21" s="1">
        <v>0</v>
      </c>
      <c r="L21" s="6">
        <f>IF($E$5=0,0,K21/$E$5)</f>
        <v>0</v>
      </c>
      <c r="M21" s="1">
        <f>ROUNDDOWN(L21*$E$6,0)</f>
        <v>0</v>
      </c>
      <c r="N21" s="3">
        <v>0</v>
      </c>
      <c r="O21" s="3">
        <f>IF(K21=0,0,N21/K21)</f>
        <v>0</v>
      </c>
      <c r="P21" s="3">
        <f>M21*O21</f>
        <v>0</v>
      </c>
    </row>
    <row r="22" spans="2:16" x14ac:dyDescent="0.3">
      <c r="B22" t="s">
        <v>114</v>
      </c>
      <c r="C22" t="s">
        <v>8</v>
      </c>
      <c r="D22" t="s">
        <v>20</v>
      </c>
      <c r="E22" s="1">
        <v>1</v>
      </c>
      <c r="F22" s="6">
        <f>IF($E$5=0,0,E22/$E$5)</f>
        <v>2.031488065007618E-5</v>
      </c>
      <c r="G22" s="6">
        <f>ROUNDDOWN(F22*$E$6,0)</f>
        <v>3</v>
      </c>
      <c r="H22" s="3">
        <v>0</v>
      </c>
      <c r="I22" s="3">
        <f>IF(E22=0,0,H22/E22)</f>
        <v>0</v>
      </c>
      <c r="J22" s="3">
        <f>I22*G22</f>
        <v>0</v>
      </c>
      <c r="K22" s="1">
        <v>0</v>
      </c>
      <c r="L22" s="6">
        <f>IF($E$5=0,0,K22/$E$5)</f>
        <v>0</v>
      </c>
      <c r="M22" s="1">
        <f>ROUNDDOWN(L22*$E$6,0)</f>
        <v>0</v>
      </c>
      <c r="N22" s="3">
        <v>0</v>
      </c>
      <c r="O22" s="3">
        <f>IF(K22=0,0,N22/K22)</f>
        <v>0</v>
      </c>
      <c r="P22" s="3">
        <f>M22*O22</f>
        <v>0</v>
      </c>
    </row>
    <row r="23" spans="2:16" x14ac:dyDescent="0.3">
      <c r="B23" t="s">
        <v>114</v>
      </c>
      <c r="C23" t="s">
        <v>34</v>
      </c>
      <c r="D23" t="s">
        <v>20</v>
      </c>
      <c r="E23" s="1">
        <v>0</v>
      </c>
      <c r="F23" s="6">
        <f>IF($E$5=0,0,E23/$E$5)</f>
        <v>0</v>
      </c>
      <c r="G23" s="6">
        <f>ROUNDDOWN(F23*$E$6,0)</f>
        <v>0</v>
      </c>
      <c r="H23" s="3">
        <v>0</v>
      </c>
      <c r="I23" s="3">
        <f>IF(E23=0,0,H23/E23)</f>
        <v>0</v>
      </c>
      <c r="J23" s="3">
        <f>I23*G23</f>
        <v>0</v>
      </c>
      <c r="K23" s="1">
        <v>0</v>
      </c>
      <c r="L23" s="6">
        <f>IF($E$5=0,0,K23/$E$5)</f>
        <v>0</v>
      </c>
      <c r="M23" s="1">
        <f>ROUNDDOWN(L23*$E$6,0)</f>
        <v>0</v>
      </c>
      <c r="N23" s="3">
        <v>0</v>
      </c>
      <c r="O23" s="3">
        <f>IF(K23=0,0,N23/K23)</f>
        <v>0</v>
      </c>
      <c r="P23" s="3">
        <f>M23*O23</f>
        <v>0</v>
      </c>
    </row>
    <row r="24" spans="2:16" x14ac:dyDescent="0.3">
      <c r="B24" t="s">
        <v>114</v>
      </c>
      <c r="C24" t="s">
        <v>35</v>
      </c>
      <c r="D24" t="s">
        <v>20</v>
      </c>
      <c r="E24" s="1">
        <v>0</v>
      </c>
      <c r="F24" s="6">
        <f>IF($E$5=0,0,E24/$E$5)</f>
        <v>0</v>
      </c>
      <c r="G24" s="6">
        <f>ROUNDDOWN(F24*$E$6,0)</f>
        <v>0</v>
      </c>
      <c r="H24" s="3">
        <v>0</v>
      </c>
      <c r="I24" s="3">
        <f>IF(E24=0,0,H24/E24)</f>
        <v>0</v>
      </c>
      <c r="J24" s="3">
        <f>I24*G24</f>
        <v>0</v>
      </c>
      <c r="K24" s="1">
        <v>0</v>
      </c>
      <c r="L24" s="6">
        <f>IF($E$5=0,0,K24/$E$5)</f>
        <v>0</v>
      </c>
      <c r="M24" s="1">
        <f>ROUNDDOWN(L24*$E$6,0)</f>
        <v>0</v>
      </c>
      <c r="N24" s="3">
        <v>0</v>
      </c>
      <c r="O24" s="3">
        <f>IF(K24=0,0,N24/K24)</f>
        <v>0</v>
      </c>
      <c r="P24" s="3">
        <f>M24*O24</f>
        <v>0</v>
      </c>
    </row>
    <row r="25" spans="2:16" x14ac:dyDescent="0.3">
      <c r="B25" t="s">
        <v>114</v>
      </c>
      <c r="C25" t="s">
        <v>36</v>
      </c>
      <c r="D25" t="s">
        <v>20</v>
      </c>
      <c r="E25" s="1">
        <v>9</v>
      </c>
      <c r="F25" s="6">
        <f>IF($E$5=0,0,E25/$E$5)</f>
        <v>1.8283392585068562E-4</v>
      </c>
      <c r="G25" s="6">
        <f>ROUNDDOWN(F25*$E$6,0)</f>
        <v>33</v>
      </c>
      <c r="H25" s="3">
        <v>0</v>
      </c>
      <c r="I25" s="3">
        <f>IF(E25=0,0,H25/E25)</f>
        <v>0</v>
      </c>
      <c r="J25" s="3">
        <f>I25*G25</f>
        <v>0</v>
      </c>
      <c r="K25" s="1">
        <v>1</v>
      </c>
      <c r="L25" s="6">
        <f>IF($E$5=0,0,K25/$E$5)</f>
        <v>2.031488065007618E-5</v>
      </c>
      <c r="M25" s="1">
        <f>ROUNDDOWN(L25*$E$6,0)</f>
        <v>3</v>
      </c>
      <c r="N25" s="3">
        <v>0</v>
      </c>
      <c r="O25" s="3">
        <f>IF(K25=0,0,N25/K25)</f>
        <v>0</v>
      </c>
      <c r="P25" s="3">
        <f>M25*O25</f>
        <v>0</v>
      </c>
    </row>
    <row r="26" spans="2:16" x14ac:dyDescent="0.3">
      <c r="B26" t="s">
        <v>114</v>
      </c>
      <c r="C26" t="s">
        <v>37</v>
      </c>
      <c r="D26" t="s">
        <v>20</v>
      </c>
      <c r="E26" s="1">
        <v>1</v>
      </c>
      <c r="F26" s="6">
        <f>IF($E$5=0,0,E26/$E$5)</f>
        <v>2.031488065007618E-5</v>
      </c>
      <c r="G26" s="6">
        <f>ROUNDDOWN(F26*$E$6,0)</f>
        <v>3</v>
      </c>
      <c r="H26" s="3">
        <v>133</v>
      </c>
      <c r="I26" s="3">
        <f>IF(E26=0,0,H26/E26)</f>
        <v>133</v>
      </c>
      <c r="J26" s="3">
        <f>I26*G26</f>
        <v>399</v>
      </c>
      <c r="K26" s="1">
        <v>0</v>
      </c>
      <c r="L26" s="6">
        <f>IF($E$5=0,0,K26/$E$5)</f>
        <v>0</v>
      </c>
      <c r="M26" s="1">
        <f>ROUNDDOWN(L26*$E$6,0)</f>
        <v>0</v>
      </c>
      <c r="N26" s="3">
        <v>0</v>
      </c>
      <c r="O26" s="3">
        <f>IF(K26=0,0,N26/K26)</f>
        <v>0</v>
      </c>
      <c r="P26" s="3">
        <f>M26*O26</f>
        <v>0</v>
      </c>
    </row>
    <row r="27" spans="2:16" x14ac:dyDescent="0.3">
      <c r="B27" t="s">
        <v>114</v>
      </c>
      <c r="C27" t="s">
        <v>38</v>
      </c>
      <c r="D27" t="s">
        <v>20</v>
      </c>
      <c r="E27" s="1">
        <v>1</v>
      </c>
      <c r="F27" s="6">
        <f>IF($E$5=0,0,E27/$E$5)</f>
        <v>2.031488065007618E-5</v>
      </c>
      <c r="G27" s="6">
        <f>ROUNDDOWN(F27*$E$6,0)</f>
        <v>3</v>
      </c>
      <c r="H27" s="3">
        <v>0</v>
      </c>
      <c r="I27" s="3">
        <f>IF(E27=0,0,H27/E27)</f>
        <v>0</v>
      </c>
      <c r="J27" s="3">
        <f>I27*G27</f>
        <v>0</v>
      </c>
      <c r="K27" s="1">
        <v>0</v>
      </c>
      <c r="L27" s="6">
        <f>IF($E$5=0,0,K27/$E$5)</f>
        <v>0</v>
      </c>
      <c r="M27" s="1">
        <f>ROUNDDOWN(L27*$E$6,0)</f>
        <v>0</v>
      </c>
      <c r="N27" s="3">
        <v>0</v>
      </c>
      <c r="O27" s="3">
        <f>IF(K27=0,0,N27/K27)</f>
        <v>0</v>
      </c>
      <c r="P27" s="3">
        <f>M27*O27</f>
        <v>0</v>
      </c>
    </row>
    <row r="28" spans="2:16" x14ac:dyDescent="0.3">
      <c r="B28" t="s">
        <v>114</v>
      </c>
      <c r="C28" t="s">
        <v>39</v>
      </c>
      <c r="D28" t="s">
        <v>20</v>
      </c>
      <c r="E28" s="1">
        <v>0</v>
      </c>
      <c r="F28" s="6">
        <f>IF($E$5=0,0,E28/$E$5)</f>
        <v>0</v>
      </c>
      <c r="G28" s="6">
        <f>ROUNDDOWN(F28*$E$6,0)</f>
        <v>0</v>
      </c>
      <c r="H28" s="3">
        <v>0</v>
      </c>
      <c r="I28" s="3">
        <f>IF(E28=0,0,H28/E28)</f>
        <v>0</v>
      </c>
      <c r="J28" s="3">
        <f>I28*G28</f>
        <v>0</v>
      </c>
      <c r="K28" s="1">
        <v>0</v>
      </c>
      <c r="L28" s="6">
        <f>IF($E$5=0,0,K28/$E$5)</f>
        <v>0</v>
      </c>
      <c r="M28" s="1">
        <f>ROUNDDOWN(L28*$E$6,0)</f>
        <v>0</v>
      </c>
      <c r="N28" s="3">
        <v>0</v>
      </c>
      <c r="O28" s="3">
        <f>IF(K28=0,0,N28/K28)</f>
        <v>0</v>
      </c>
      <c r="P28" s="3">
        <f>M28*O28</f>
        <v>0</v>
      </c>
    </row>
    <row r="29" spans="2:16" x14ac:dyDescent="0.3">
      <c r="B29" t="s">
        <v>114</v>
      </c>
      <c r="C29" t="s">
        <v>9</v>
      </c>
      <c r="D29" t="s">
        <v>20</v>
      </c>
      <c r="E29" s="1">
        <v>2</v>
      </c>
      <c r="F29" s="6">
        <f>IF($E$5=0,0,E29/$E$5)</f>
        <v>4.0629761300152361E-5</v>
      </c>
      <c r="G29" s="6">
        <f>ROUNDDOWN(F29*$E$6,0)</f>
        <v>7</v>
      </c>
      <c r="H29" s="3">
        <v>0</v>
      </c>
      <c r="I29" s="3">
        <f>IF(E29=0,0,H29/E29)</f>
        <v>0</v>
      </c>
      <c r="J29" s="3">
        <f>I29*G29</f>
        <v>0</v>
      </c>
      <c r="K29" s="1">
        <v>1</v>
      </c>
      <c r="L29" s="6">
        <f>IF($E$5=0,0,K29/$E$5)</f>
        <v>2.031488065007618E-5</v>
      </c>
      <c r="M29" s="1">
        <f>ROUNDDOWN(L29*$E$6,0)</f>
        <v>3</v>
      </c>
      <c r="N29" s="3">
        <v>221</v>
      </c>
      <c r="O29" s="3">
        <f>IF(K29=0,0,N29/K29)</f>
        <v>221</v>
      </c>
      <c r="P29" s="3">
        <f>M29*O29</f>
        <v>663</v>
      </c>
    </row>
    <row r="30" spans="2:16" x14ac:dyDescent="0.3">
      <c r="B30" t="s">
        <v>114</v>
      </c>
      <c r="C30" t="s">
        <v>10</v>
      </c>
      <c r="D30" t="s">
        <v>20</v>
      </c>
      <c r="E30" s="1">
        <v>1</v>
      </c>
      <c r="F30" s="6">
        <f>IF($E$5=0,0,E30/$E$5)</f>
        <v>2.031488065007618E-5</v>
      </c>
      <c r="G30" s="6">
        <f>ROUNDDOWN(F30*$E$6,0)</f>
        <v>3</v>
      </c>
      <c r="H30" s="3">
        <v>0</v>
      </c>
      <c r="I30" s="3">
        <f>IF(E30=0,0,H30/E30)</f>
        <v>0</v>
      </c>
      <c r="J30" s="3">
        <f>I30*G30</f>
        <v>0</v>
      </c>
      <c r="K30" s="1">
        <v>0</v>
      </c>
      <c r="L30" s="6">
        <f>IF($E$5=0,0,K30/$E$5)</f>
        <v>0</v>
      </c>
      <c r="M30" s="1">
        <f>ROUNDDOWN(L30*$E$6,0)</f>
        <v>0</v>
      </c>
      <c r="N30" s="3">
        <v>0</v>
      </c>
      <c r="O30" s="3">
        <f>IF(K30=0,0,N30/K30)</f>
        <v>0</v>
      </c>
      <c r="P30" s="3">
        <f>M30*O30</f>
        <v>0</v>
      </c>
    </row>
    <row r="31" spans="2:16" x14ac:dyDescent="0.3">
      <c r="B31" t="s">
        <v>114</v>
      </c>
      <c r="C31" t="s">
        <v>11</v>
      </c>
      <c r="D31" t="s">
        <v>20</v>
      </c>
      <c r="E31" s="1">
        <v>0</v>
      </c>
      <c r="F31" s="6">
        <f>IF($E$5=0,0,E31/$E$5)</f>
        <v>0</v>
      </c>
      <c r="G31" s="6">
        <f>ROUNDDOWN(F31*$E$6,0)</f>
        <v>0</v>
      </c>
      <c r="H31" s="3">
        <v>0</v>
      </c>
      <c r="I31" s="3">
        <f>IF(E31=0,0,H31/E31)</f>
        <v>0</v>
      </c>
      <c r="J31" s="3">
        <f>I31*G31</f>
        <v>0</v>
      </c>
      <c r="K31" s="1">
        <v>0</v>
      </c>
      <c r="L31" s="6">
        <f>IF($E$5=0,0,K31/$E$5)</f>
        <v>0</v>
      </c>
      <c r="M31" s="1">
        <f>ROUNDDOWN(L31*$E$6,0)</f>
        <v>0</v>
      </c>
      <c r="N31" s="3">
        <v>0</v>
      </c>
      <c r="O31" s="3">
        <f>IF(K31=0,0,N31/K31)</f>
        <v>0</v>
      </c>
      <c r="P31" s="3">
        <f>M31*O31</f>
        <v>0</v>
      </c>
    </row>
    <row r="32" spans="2:16" x14ac:dyDescent="0.3">
      <c r="B32" t="s">
        <v>114</v>
      </c>
      <c r="C32" t="s">
        <v>40</v>
      </c>
      <c r="D32" t="s">
        <v>20</v>
      </c>
      <c r="E32" s="1">
        <v>0</v>
      </c>
      <c r="F32" s="6">
        <f>IF($E$5=0,0,E32/$E$5)</f>
        <v>0</v>
      </c>
      <c r="G32" s="6">
        <f>ROUNDDOWN(F32*$E$6,0)</f>
        <v>0</v>
      </c>
      <c r="H32" s="3">
        <v>0</v>
      </c>
      <c r="I32" s="3">
        <f>IF(E32=0,0,H32/E32)</f>
        <v>0</v>
      </c>
      <c r="J32" s="3">
        <f>I32*G32</f>
        <v>0</v>
      </c>
      <c r="K32" s="1">
        <v>0</v>
      </c>
      <c r="L32" s="6">
        <f>IF($E$5=0,0,K32/$E$5)</f>
        <v>0</v>
      </c>
      <c r="M32" s="1">
        <f>ROUNDDOWN(L32*$E$6,0)</f>
        <v>0</v>
      </c>
      <c r="N32" s="3">
        <v>0</v>
      </c>
      <c r="O32" s="3">
        <f>IF(K32=0,0,N32/K32)</f>
        <v>0</v>
      </c>
      <c r="P32" s="3">
        <f>M32*O32</f>
        <v>0</v>
      </c>
    </row>
    <row r="33" spans="2:16" x14ac:dyDescent="0.3">
      <c r="B33" t="s">
        <v>114</v>
      </c>
      <c r="C33" t="s">
        <v>41</v>
      </c>
      <c r="D33" t="s">
        <v>20</v>
      </c>
      <c r="E33" s="1">
        <v>0</v>
      </c>
      <c r="F33" s="6">
        <f>IF($E$5=0,0,E33/$E$5)</f>
        <v>0</v>
      </c>
      <c r="G33" s="6">
        <f>ROUNDDOWN(F33*$E$6,0)</f>
        <v>0</v>
      </c>
      <c r="H33" s="3">
        <v>0</v>
      </c>
      <c r="I33" s="3">
        <f>IF(E33=0,0,H33/E33)</f>
        <v>0</v>
      </c>
      <c r="J33" s="3">
        <f>I33*G33</f>
        <v>0</v>
      </c>
      <c r="K33" s="1">
        <v>0</v>
      </c>
      <c r="L33" s="6">
        <f>IF($E$5=0,0,K33/$E$5)</f>
        <v>0</v>
      </c>
      <c r="M33" s="1">
        <f>ROUNDDOWN(L33*$E$6,0)</f>
        <v>0</v>
      </c>
      <c r="N33" s="3">
        <v>0</v>
      </c>
      <c r="O33" s="3">
        <f>IF(K33=0,0,N33/K33)</f>
        <v>0</v>
      </c>
      <c r="P33" s="3">
        <f>M33*O33</f>
        <v>0</v>
      </c>
    </row>
    <row r="34" spans="2:16" x14ac:dyDescent="0.3">
      <c r="B34" t="s">
        <v>114</v>
      </c>
      <c r="C34" t="s">
        <v>12</v>
      </c>
      <c r="D34" t="s">
        <v>20</v>
      </c>
      <c r="E34" s="1">
        <v>1</v>
      </c>
      <c r="F34" s="6">
        <f>IF($E$5=0,0,E34/$E$5)</f>
        <v>2.031488065007618E-5</v>
      </c>
      <c r="G34" s="6">
        <f>ROUNDDOWN(F34*$E$6,0)</f>
        <v>3</v>
      </c>
      <c r="H34" s="3">
        <v>31200</v>
      </c>
      <c r="I34" s="3">
        <f>IF(E34=0,0,H34/E34)</f>
        <v>31200</v>
      </c>
      <c r="J34" s="3">
        <f>I34*G34</f>
        <v>93600</v>
      </c>
      <c r="K34" s="1">
        <v>0</v>
      </c>
      <c r="L34" s="6">
        <f>IF($E$5=0,0,K34/$E$5)</f>
        <v>0</v>
      </c>
      <c r="M34" s="1">
        <f>ROUNDDOWN(L34*$E$6,0)</f>
        <v>0</v>
      </c>
      <c r="N34" s="3">
        <v>0</v>
      </c>
      <c r="O34" s="3">
        <f>IF(K34=0,0,N34/K34)</f>
        <v>0</v>
      </c>
      <c r="P34" s="3">
        <f>M34*O34</f>
        <v>0</v>
      </c>
    </row>
    <row r="35" spans="2:16" x14ac:dyDescent="0.3">
      <c r="B35" t="s">
        <v>114</v>
      </c>
      <c r="C35" t="s">
        <v>42</v>
      </c>
      <c r="D35" t="s">
        <v>20</v>
      </c>
      <c r="E35" s="1">
        <v>4</v>
      </c>
      <c r="F35" s="6">
        <f>IF($E$5=0,0,E35/$E$5)</f>
        <v>8.1259522600304722E-5</v>
      </c>
      <c r="G35" s="6">
        <f>ROUNDDOWN(F35*$E$6,0)</f>
        <v>14</v>
      </c>
      <c r="H35" s="3">
        <v>6200</v>
      </c>
      <c r="I35" s="3">
        <f>IF(E35=0,0,H35/E35)</f>
        <v>1550</v>
      </c>
      <c r="J35" s="3">
        <f>I35*G35</f>
        <v>21700</v>
      </c>
      <c r="K35" s="1">
        <v>0</v>
      </c>
      <c r="L35" s="6">
        <f>IF($E$5=0,0,K35/$E$5)</f>
        <v>0</v>
      </c>
      <c r="M35" s="1">
        <f>ROUNDDOWN(L35*$E$6,0)</f>
        <v>0</v>
      </c>
      <c r="N35" s="3">
        <v>0</v>
      </c>
      <c r="O35" s="3">
        <f>IF(K35=0,0,N35/K35)</f>
        <v>0</v>
      </c>
      <c r="P35" s="3">
        <f>M35*O35</f>
        <v>0</v>
      </c>
    </row>
    <row r="36" spans="2:16" x14ac:dyDescent="0.3">
      <c r="B36" t="s">
        <v>114</v>
      </c>
      <c r="C36" t="s">
        <v>13</v>
      </c>
      <c r="D36" t="s">
        <v>20</v>
      </c>
      <c r="E36" s="1">
        <v>0</v>
      </c>
      <c r="F36" s="6">
        <f>IF($E$5=0,0,E36/$E$5)</f>
        <v>0</v>
      </c>
      <c r="G36" s="6">
        <f>ROUNDDOWN(F36*$E$6,0)</f>
        <v>0</v>
      </c>
      <c r="H36" s="3">
        <v>0</v>
      </c>
      <c r="I36" s="3">
        <f>IF(E36=0,0,H36/E36)</f>
        <v>0</v>
      </c>
      <c r="J36" s="3">
        <f>I36*G36</f>
        <v>0</v>
      </c>
      <c r="K36" s="1">
        <v>0</v>
      </c>
      <c r="L36" s="6">
        <f>IF($E$5=0,0,K36/$E$5)</f>
        <v>0</v>
      </c>
      <c r="M36" s="1">
        <f>ROUNDDOWN(L36*$E$6,0)</f>
        <v>0</v>
      </c>
      <c r="N36" s="3">
        <v>0</v>
      </c>
      <c r="O36" s="3">
        <f>IF(K36=0,0,N36/K36)</f>
        <v>0</v>
      </c>
      <c r="P36" s="3">
        <f>M36*O36</f>
        <v>0</v>
      </c>
    </row>
    <row r="38" spans="2:16" x14ac:dyDescent="0.3">
      <c r="E38" s="1">
        <f>SUM(E7:E36)</f>
        <v>26</v>
      </c>
      <c r="G38" s="6">
        <f>SUM(G7:G36)</f>
        <v>88</v>
      </c>
      <c r="H38" s="3">
        <f>SUM(H7:H36)</f>
        <v>208733</v>
      </c>
      <c r="I38" s="3">
        <f>IF(E38=0,0,H38/E38)</f>
        <v>8028.1923076923076</v>
      </c>
      <c r="J38" s="3">
        <f>G38*I38</f>
        <v>706480.92307692312</v>
      </c>
      <c r="K38" s="1">
        <f>SUM(K7:K36)</f>
        <v>3</v>
      </c>
      <c r="M38" s="1">
        <f>SUM(M7:M36)</f>
        <v>9</v>
      </c>
      <c r="N38" s="3">
        <f>SUM(N7:N36)</f>
        <v>420</v>
      </c>
      <c r="O38" s="3">
        <f>IF(K38=0,0,N38/K38)</f>
        <v>140</v>
      </c>
      <c r="P38" s="3">
        <f>M38*O38</f>
        <v>1260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BD3E5-ED1C-41CA-8B29-C32BF1D691A4}">
  <dimension ref="A3:P21"/>
  <sheetViews>
    <sheetView workbookViewId="0">
      <selection activeCell="N7" sqref="N7:N37"/>
    </sheetView>
  </sheetViews>
  <sheetFormatPr defaultRowHeight="14.4" x14ac:dyDescent="0.3"/>
  <cols>
    <col min="1" max="2" width="17.5546875" customWidth="1"/>
    <col min="3" max="4" width="17.5546875" style="1" customWidth="1"/>
    <col min="5" max="5" width="17.5546875" customWidth="1"/>
    <col min="6" max="12" width="17.5546875" style="1" customWidth="1"/>
    <col min="13" max="13" width="35.21875" style="1" customWidth="1"/>
    <col min="14" max="16" width="17.5546875" style="1" customWidth="1"/>
  </cols>
  <sheetData>
    <row r="3" spans="1:16" x14ac:dyDescent="0.3">
      <c r="F3" s="18" t="s">
        <v>65</v>
      </c>
      <c r="G3" s="18"/>
      <c r="H3" s="18"/>
      <c r="I3" s="18"/>
      <c r="J3" s="18"/>
      <c r="K3" s="18" t="s">
        <v>67</v>
      </c>
      <c r="L3" s="18"/>
      <c r="M3" s="18"/>
      <c r="N3" s="18" t="s">
        <v>69</v>
      </c>
      <c r="O3" s="18"/>
      <c r="P3" s="18"/>
    </row>
    <row r="4" spans="1:16" x14ac:dyDescent="0.3">
      <c r="B4" s="5" t="s">
        <v>62</v>
      </c>
      <c r="C4" s="17" t="s">
        <v>63</v>
      </c>
      <c r="D4" s="17"/>
      <c r="E4" s="5" t="s">
        <v>64</v>
      </c>
      <c r="F4" s="15" t="s">
        <v>66</v>
      </c>
      <c r="G4" s="15" t="s">
        <v>9</v>
      </c>
      <c r="H4" s="15" t="s">
        <v>8</v>
      </c>
      <c r="I4" s="15" t="s">
        <v>10</v>
      </c>
      <c r="J4" s="15" t="s">
        <v>11</v>
      </c>
      <c r="K4" s="15" t="s">
        <v>3</v>
      </c>
      <c r="L4" s="15" t="s">
        <v>7</v>
      </c>
      <c r="M4" s="15" t="s">
        <v>68</v>
      </c>
      <c r="N4" s="15" t="s">
        <v>30</v>
      </c>
      <c r="O4" s="15" t="s">
        <v>70</v>
      </c>
      <c r="P4" s="15" t="s">
        <v>71</v>
      </c>
    </row>
    <row r="5" spans="1:16" x14ac:dyDescent="0.3">
      <c r="B5">
        <v>2016</v>
      </c>
      <c r="C5" s="1">
        <v>177746</v>
      </c>
      <c r="F5" s="1">
        <v>0</v>
      </c>
      <c r="G5" s="1">
        <v>6</v>
      </c>
      <c r="H5" s="1">
        <v>0</v>
      </c>
      <c r="I5" s="1">
        <v>3</v>
      </c>
      <c r="J5" s="1">
        <v>0</v>
      </c>
      <c r="K5" s="1">
        <v>0</v>
      </c>
      <c r="L5" s="1">
        <v>6</v>
      </c>
      <c r="M5" s="1">
        <v>10</v>
      </c>
      <c r="N5" s="1">
        <v>0</v>
      </c>
      <c r="O5" s="1">
        <v>0</v>
      </c>
      <c r="P5" s="1">
        <v>0</v>
      </c>
    </row>
    <row r="6" spans="1:16" x14ac:dyDescent="0.3">
      <c r="B6">
        <v>2017</v>
      </c>
      <c r="C6" s="1">
        <v>179530</v>
      </c>
      <c r="D6" s="1">
        <v>1784</v>
      </c>
      <c r="F6" s="1">
        <v>0</v>
      </c>
      <c r="G6" s="1">
        <v>3</v>
      </c>
      <c r="H6" s="1">
        <v>0</v>
      </c>
      <c r="I6" s="1">
        <v>3</v>
      </c>
      <c r="J6" s="1">
        <v>0</v>
      </c>
      <c r="K6" s="1">
        <v>0</v>
      </c>
      <c r="L6" s="1">
        <v>3</v>
      </c>
      <c r="M6" s="1">
        <v>10</v>
      </c>
      <c r="N6" s="1">
        <v>0</v>
      </c>
      <c r="O6" s="1">
        <v>0</v>
      </c>
      <c r="P6" s="1">
        <v>0</v>
      </c>
    </row>
    <row r="7" spans="1:16" x14ac:dyDescent="0.3">
      <c r="B7">
        <v>2018</v>
      </c>
      <c r="C7" s="1">
        <v>181918</v>
      </c>
      <c r="D7" s="1">
        <v>2388</v>
      </c>
      <c r="F7" s="1">
        <v>0</v>
      </c>
      <c r="G7" s="1">
        <v>0</v>
      </c>
      <c r="H7" s="1">
        <v>3</v>
      </c>
      <c r="I7" s="1">
        <v>0</v>
      </c>
      <c r="J7" s="1">
        <v>0</v>
      </c>
      <c r="K7" s="1">
        <v>0</v>
      </c>
      <c r="L7" s="1">
        <v>3</v>
      </c>
      <c r="M7" s="1">
        <v>3</v>
      </c>
      <c r="N7" s="1">
        <v>0</v>
      </c>
      <c r="O7" s="1">
        <v>0</v>
      </c>
      <c r="P7" s="1">
        <v>0</v>
      </c>
    </row>
    <row r="8" spans="1:16" x14ac:dyDescent="0.3">
      <c r="B8">
        <v>2019</v>
      </c>
      <c r="C8" s="1">
        <v>182799</v>
      </c>
      <c r="D8" s="1">
        <v>881</v>
      </c>
      <c r="F8" s="1">
        <v>0</v>
      </c>
      <c r="G8" s="1">
        <v>7</v>
      </c>
      <c r="H8" s="1">
        <v>0</v>
      </c>
      <c r="I8" s="1">
        <v>3</v>
      </c>
      <c r="J8" s="1">
        <v>0</v>
      </c>
      <c r="K8" s="1">
        <v>0</v>
      </c>
      <c r="L8" s="1">
        <v>7</v>
      </c>
      <c r="M8" s="1">
        <v>3</v>
      </c>
      <c r="N8" s="1">
        <v>0</v>
      </c>
      <c r="O8" s="1">
        <v>3</v>
      </c>
      <c r="P8" s="1">
        <v>0</v>
      </c>
    </row>
    <row r="9" spans="1:16" x14ac:dyDescent="0.3">
      <c r="B9">
        <v>2020</v>
      </c>
      <c r="C9" s="1">
        <v>181560</v>
      </c>
      <c r="D9" s="1">
        <v>-1239</v>
      </c>
      <c r="F9" s="1">
        <v>3</v>
      </c>
      <c r="G9" s="1">
        <v>3</v>
      </c>
      <c r="H9" s="1">
        <v>0</v>
      </c>
      <c r="I9" s="1">
        <v>3</v>
      </c>
      <c r="J9" s="1">
        <v>0</v>
      </c>
      <c r="K9" s="1">
        <v>0</v>
      </c>
      <c r="L9" s="1">
        <v>7</v>
      </c>
      <c r="M9" s="1">
        <v>7</v>
      </c>
      <c r="N9" s="1">
        <v>0</v>
      </c>
      <c r="O9" s="1">
        <v>3</v>
      </c>
      <c r="P9" s="1">
        <v>18</v>
      </c>
    </row>
    <row r="10" spans="1:16" x14ac:dyDescent="0.3">
      <c r="B10">
        <v>2021</v>
      </c>
      <c r="C10" s="1">
        <v>181163</v>
      </c>
      <c r="D10" s="1">
        <v>-397</v>
      </c>
      <c r="F10" s="1">
        <v>0</v>
      </c>
      <c r="G10" s="1">
        <v>7</v>
      </c>
      <c r="H10" s="1">
        <v>3</v>
      </c>
      <c r="I10" s="1">
        <v>3</v>
      </c>
      <c r="J10" s="1">
        <v>0</v>
      </c>
      <c r="K10" s="1">
        <v>0</v>
      </c>
      <c r="L10" s="1">
        <v>0</v>
      </c>
      <c r="M10" s="1">
        <v>0</v>
      </c>
      <c r="N10" s="1">
        <v>3</v>
      </c>
      <c r="O10" s="1">
        <v>0</v>
      </c>
      <c r="P10" s="1">
        <v>3</v>
      </c>
    </row>
    <row r="11" spans="1:16" x14ac:dyDescent="0.3">
      <c r="B11">
        <v>2022</v>
      </c>
      <c r="C11" s="1">
        <v>184086</v>
      </c>
      <c r="D11" s="1">
        <v>2923</v>
      </c>
      <c r="F11" s="1">
        <v>0</v>
      </c>
      <c r="G11" s="1">
        <v>11</v>
      </c>
      <c r="H11" s="1">
        <v>0</v>
      </c>
      <c r="I11" s="1">
        <v>3</v>
      </c>
      <c r="J11" s="1">
        <v>0</v>
      </c>
      <c r="K11" s="1">
        <v>11</v>
      </c>
      <c r="L11" s="1">
        <v>7</v>
      </c>
      <c r="M11" s="1">
        <v>18</v>
      </c>
      <c r="N11" s="1">
        <v>0</v>
      </c>
      <c r="O11" s="1">
        <v>7</v>
      </c>
      <c r="P11" s="1">
        <v>7</v>
      </c>
    </row>
    <row r="14" spans="1:16" x14ac:dyDescent="0.3">
      <c r="A14" t="s">
        <v>76</v>
      </c>
      <c r="D14" s="1" cm="1">
        <f t="array" ref="D14">AVERAGE(ABS(D6:D11))</f>
        <v>1602</v>
      </c>
    </row>
    <row r="15" spans="1:16" x14ac:dyDescent="0.3">
      <c r="A15" t="s">
        <v>77</v>
      </c>
      <c r="D15" s="1">
        <f>C11+D14</f>
        <v>185688</v>
      </c>
    </row>
    <row r="16" spans="1:16" x14ac:dyDescent="0.3">
      <c r="A16" t="s">
        <v>78</v>
      </c>
      <c r="D16" s="1">
        <f>D15+D14</f>
        <v>187290</v>
      </c>
    </row>
    <row r="17" spans="1:4" x14ac:dyDescent="0.3">
      <c r="A17" t="s">
        <v>79</v>
      </c>
      <c r="D17" s="1">
        <f>D15-D14</f>
        <v>184086</v>
      </c>
    </row>
    <row r="19" spans="1:4" x14ac:dyDescent="0.3">
      <c r="A19" t="s">
        <v>80</v>
      </c>
      <c r="D19" s="1">
        <f>COUNTIF(D6:D11,"&lt;0")/COUNT(D6:D11)</f>
        <v>0.33333333333333331</v>
      </c>
    </row>
    <row r="21" spans="1:4" x14ac:dyDescent="0.3">
      <c r="D21" s="1">
        <f>C9</f>
        <v>181560</v>
      </c>
    </row>
  </sheetData>
  <mergeCells count="3">
    <mergeCell ref="F3:J3"/>
    <mergeCell ref="K3:M3"/>
    <mergeCell ref="N3:P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4BEB1-B203-4ED3-B95D-6AE9D2CA7A46}">
  <dimension ref="B4:Q38"/>
  <sheetViews>
    <sheetView workbookViewId="0"/>
  </sheetViews>
  <sheetFormatPr defaultRowHeight="14.4" x14ac:dyDescent="0.3"/>
  <cols>
    <col min="2" max="2" width="40.77734375" customWidth="1"/>
    <col min="3" max="3" width="35.21875" customWidth="1"/>
    <col min="4" max="4" width="18.5546875" customWidth="1"/>
    <col min="5" max="5" width="18.5546875" style="1" customWidth="1"/>
    <col min="6" max="7" width="18.5546875" style="6" customWidth="1"/>
    <col min="8" max="8" width="18.5546875" style="1" customWidth="1"/>
    <col min="9" max="11" width="18.5546875" style="3" customWidth="1"/>
    <col min="12" max="12" width="18.5546875" style="1" customWidth="1"/>
    <col min="13" max="13" width="18.5546875" style="6" customWidth="1"/>
    <col min="14" max="14" width="18.5546875" style="1" customWidth="1"/>
    <col min="15" max="17" width="18.5546875" style="3" customWidth="1"/>
  </cols>
  <sheetData>
    <row r="4" spans="2:17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9" t="s">
        <v>19</v>
      </c>
      <c r="I4" s="13" t="s">
        <v>22</v>
      </c>
      <c r="J4" s="13" t="s">
        <v>43</v>
      </c>
      <c r="K4" s="13" t="s">
        <v>44</v>
      </c>
      <c r="L4" s="9" t="s">
        <v>46</v>
      </c>
      <c r="M4" s="11" t="s">
        <v>48</v>
      </c>
      <c r="N4" s="9" t="s">
        <v>49</v>
      </c>
      <c r="O4" s="13" t="s">
        <v>47</v>
      </c>
      <c r="P4" s="13" t="s">
        <v>51</v>
      </c>
      <c r="Q4" s="13" t="s">
        <v>50</v>
      </c>
    </row>
    <row r="5" spans="2:17" x14ac:dyDescent="0.3">
      <c r="B5" s="8" t="s">
        <v>85</v>
      </c>
      <c r="C5" s="8" t="s">
        <v>92</v>
      </c>
      <c r="D5" s="8" t="s">
        <v>6</v>
      </c>
      <c r="E5" s="10">
        <v>48342</v>
      </c>
      <c r="F5" s="12" t="s">
        <v>14</v>
      </c>
      <c r="G5" s="12" t="s">
        <v>18</v>
      </c>
      <c r="H5" s="10" t="s">
        <v>81</v>
      </c>
      <c r="I5" s="14"/>
      <c r="J5" s="14"/>
      <c r="K5" s="14" t="s">
        <v>45</v>
      </c>
      <c r="L5" s="10"/>
      <c r="M5" s="12"/>
      <c r="N5" s="10"/>
      <c r="O5" s="14"/>
      <c r="P5" s="14"/>
      <c r="Q5" s="14" t="s">
        <v>52</v>
      </c>
    </row>
    <row r="6" spans="2:17" x14ac:dyDescent="0.3">
      <c r="B6" s="8" t="s">
        <v>17</v>
      </c>
      <c r="C6" s="8" t="s">
        <v>16</v>
      </c>
      <c r="D6" s="8" t="s">
        <v>6</v>
      </c>
      <c r="E6" s="10">
        <v>184086</v>
      </c>
      <c r="F6" s="12"/>
      <c r="G6" s="12"/>
      <c r="H6" s="10"/>
      <c r="I6" s="14"/>
      <c r="J6" s="14"/>
      <c r="K6" s="14"/>
      <c r="L6" s="10"/>
      <c r="M6" s="12"/>
      <c r="N6" s="10"/>
      <c r="O6" s="14"/>
      <c r="P6" s="14"/>
      <c r="Q6" s="14"/>
    </row>
    <row r="7" spans="2:17" x14ac:dyDescent="0.3">
      <c r="B7" t="s">
        <v>115</v>
      </c>
      <c r="C7" t="s">
        <v>23</v>
      </c>
      <c r="D7" t="s">
        <v>20</v>
      </c>
      <c r="E7" s="1">
        <v>0</v>
      </c>
      <c r="F7" s="6">
        <f>IF($E$5=0,0,E7/$E$5)</f>
        <v>0</v>
      </c>
      <c r="G7" s="6">
        <f>F7*$E$6</f>
        <v>0</v>
      </c>
      <c r="H7" s="1">
        <f>ROUNDDOWN(G7,0)</f>
        <v>0</v>
      </c>
      <c r="I7" s="3">
        <v>0</v>
      </c>
      <c r="J7" s="3">
        <f>IF(E7=0,0,I7/E7)</f>
        <v>0</v>
      </c>
      <c r="K7" s="3">
        <f>J7*H7</f>
        <v>0</v>
      </c>
      <c r="L7" s="1">
        <v>0</v>
      </c>
      <c r="M7" s="6">
        <f>IF($E$5=0,0,L7/$E$5)</f>
        <v>0</v>
      </c>
      <c r="N7" s="1">
        <f>ROUNDDOWN(M7*$E$6,0)</f>
        <v>0</v>
      </c>
      <c r="O7" s="3">
        <v>0</v>
      </c>
      <c r="P7" s="3">
        <f>IF(L7=0,0,O7/L7)</f>
        <v>0</v>
      </c>
      <c r="Q7" s="3">
        <f>N7*P7</f>
        <v>0</v>
      </c>
    </row>
    <row r="8" spans="2:17" x14ac:dyDescent="0.3">
      <c r="B8" t="s">
        <v>115</v>
      </c>
      <c r="C8" t="s">
        <v>21</v>
      </c>
      <c r="D8" t="s">
        <v>20</v>
      </c>
      <c r="E8" s="1">
        <v>2</v>
      </c>
      <c r="F8" s="6">
        <f>IF($E$5=0,0,E8/$E$5)</f>
        <v>4.137189193661826E-5</v>
      </c>
      <c r="G8" s="6">
        <f>F8*$E$6</f>
        <v>7.6159860990443091</v>
      </c>
      <c r="H8" s="1">
        <f>ROUNDDOWN(G8,0)</f>
        <v>7</v>
      </c>
      <c r="I8" s="3">
        <v>960</v>
      </c>
      <c r="J8" s="3">
        <f>IF(E8=0,0,I8/E8)</f>
        <v>480</v>
      </c>
      <c r="K8" s="3">
        <f>J8*H8</f>
        <v>3360</v>
      </c>
      <c r="L8" s="1">
        <v>0</v>
      </c>
      <c r="M8" s="6">
        <f>IF($E$5=0,0,L8/$E$5)</f>
        <v>0</v>
      </c>
      <c r="N8" s="1">
        <f>ROUNDDOWN(M8*$E$6,0)</f>
        <v>0</v>
      </c>
      <c r="O8" s="3">
        <v>0</v>
      </c>
      <c r="P8" s="3">
        <f>IF(L8=0,0,O8/L8)</f>
        <v>0</v>
      </c>
      <c r="Q8" s="3">
        <f>N8*P8</f>
        <v>0</v>
      </c>
    </row>
    <row r="9" spans="2:17" x14ac:dyDescent="0.3">
      <c r="B9" t="s">
        <v>115</v>
      </c>
      <c r="C9" t="s">
        <v>24</v>
      </c>
      <c r="D9" t="s">
        <v>20</v>
      </c>
      <c r="E9" s="1">
        <v>0</v>
      </c>
      <c r="F9" s="6">
        <f>IF($E$5=0,0,E9/$E$5)</f>
        <v>0</v>
      </c>
      <c r="G9" s="6">
        <f>F9*$E$6</f>
        <v>0</v>
      </c>
      <c r="H9" s="1">
        <f>ROUNDDOWN(G9,0)</f>
        <v>0</v>
      </c>
      <c r="I9" s="3">
        <v>0</v>
      </c>
      <c r="J9" s="3">
        <f>IF(E9=0,0,I9/E9)</f>
        <v>0</v>
      </c>
      <c r="K9" s="3">
        <f>J9*H9</f>
        <v>0</v>
      </c>
      <c r="L9" s="1">
        <v>0</v>
      </c>
      <c r="M9" s="6">
        <f>IF($E$5=0,0,L9/$E$5)</f>
        <v>0</v>
      </c>
      <c r="N9" s="1">
        <f>ROUNDDOWN(M9*$E$6,0)</f>
        <v>0</v>
      </c>
      <c r="O9" s="3">
        <v>0</v>
      </c>
      <c r="P9" s="3">
        <f>IF(L9=0,0,O9/L9)</f>
        <v>0</v>
      </c>
      <c r="Q9" s="3">
        <f>N9*P9</f>
        <v>0</v>
      </c>
    </row>
    <row r="10" spans="2:17" x14ac:dyDescent="0.3">
      <c r="B10" t="s">
        <v>115</v>
      </c>
      <c r="C10" t="s">
        <v>25</v>
      </c>
      <c r="D10" t="s">
        <v>20</v>
      </c>
      <c r="E10" s="1">
        <v>1</v>
      </c>
      <c r="F10" s="6">
        <f>IF($E$5=0,0,E10/$E$5)</f>
        <v>2.068594596830913E-5</v>
      </c>
      <c r="G10" s="6">
        <f>F10*$E$6</f>
        <v>3.8079930495221546</v>
      </c>
      <c r="H10" s="1">
        <f>ROUNDDOWN(G10,0)</f>
        <v>3</v>
      </c>
      <c r="I10" s="3">
        <v>12500</v>
      </c>
      <c r="J10" s="3">
        <f>IF(E10=0,0,I10/E10)</f>
        <v>12500</v>
      </c>
      <c r="K10" s="3">
        <f>J10*H10</f>
        <v>37500</v>
      </c>
      <c r="L10" s="1">
        <v>0</v>
      </c>
      <c r="M10" s="6">
        <f>IF($E$5=0,0,L10/$E$5)</f>
        <v>0</v>
      </c>
      <c r="N10" s="1">
        <f>ROUNDDOWN(M10*$E$6,0)</f>
        <v>0</v>
      </c>
      <c r="O10" s="3">
        <v>0</v>
      </c>
      <c r="P10" s="3">
        <f>IF(L10=0,0,O10/L10)</f>
        <v>0</v>
      </c>
      <c r="Q10" s="3">
        <f>N10*P10</f>
        <v>0</v>
      </c>
    </row>
    <row r="11" spans="2:17" x14ac:dyDescent="0.3">
      <c r="B11" t="s">
        <v>115</v>
      </c>
      <c r="C11" t="s">
        <v>83</v>
      </c>
      <c r="D11" t="s">
        <v>20</v>
      </c>
      <c r="E11" s="1">
        <v>0</v>
      </c>
      <c r="F11" s="6">
        <f>IF($E$5=0,0,E11/$E$5)</f>
        <v>0</v>
      </c>
      <c r="G11" s="6">
        <f>F11*$E$6</f>
        <v>0</v>
      </c>
      <c r="H11" s="1">
        <f>ROUNDDOWN(G11,0)</f>
        <v>0</v>
      </c>
      <c r="I11" s="3">
        <v>0</v>
      </c>
      <c r="J11" s="3">
        <f>IF(E11=0,0,I11/E11)</f>
        <v>0</v>
      </c>
      <c r="K11" s="3">
        <f>J11*H11</f>
        <v>0</v>
      </c>
      <c r="L11" s="1">
        <v>0</v>
      </c>
      <c r="M11" s="6">
        <f>IF($E$5=0,0,L11/$E$5)</f>
        <v>0</v>
      </c>
      <c r="N11" s="1">
        <f>ROUNDDOWN(M11*$E$6,0)</f>
        <v>0</v>
      </c>
      <c r="O11" s="3">
        <v>0</v>
      </c>
      <c r="P11" s="3">
        <f>IF(L11=0,0,O11/L11)</f>
        <v>0</v>
      </c>
      <c r="Q11" s="3">
        <f>N11*P11</f>
        <v>0</v>
      </c>
    </row>
    <row r="12" spans="2:17" x14ac:dyDescent="0.3">
      <c r="B12" t="s">
        <v>115</v>
      </c>
      <c r="C12" t="s">
        <v>3</v>
      </c>
      <c r="D12" t="s">
        <v>20</v>
      </c>
      <c r="E12" s="1">
        <v>3</v>
      </c>
      <c r="F12" s="6">
        <f>IF($E$5=0,0,E12/$E$5)</f>
        <v>6.2057837904927387E-5</v>
      </c>
      <c r="G12" s="6">
        <f>F12*$E$6</f>
        <v>11.423979148566463</v>
      </c>
      <c r="H12" s="1">
        <f>ROUNDDOWN(G12,0)</f>
        <v>11</v>
      </c>
      <c r="I12" s="3">
        <v>0</v>
      </c>
      <c r="J12" s="3">
        <f>IF(E12=0,0,I12/E12)</f>
        <v>0</v>
      </c>
      <c r="K12" s="3">
        <f>J12*H12</f>
        <v>0</v>
      </c>
      <c r="L12" s="1">
        <v>0</v>
      </c>
      <c r="M12" s="6">
        <f>IF($E$5=0,0,L12/$E$5)</f>
        <v>0</v>
      </c>
      <c r="N12" s="1">
        <f>ROUNDDOWN(M12*$E$6,0)</f>
        <v>0</v>
      </c>
      <c r="O12" s="3">
        <v>0</v>
      </c>
      <c r="P12" s="3">
        <f>IF(L12=0,0,O12/L12)</f>
        <v>0</v>
      </c>
      <c r="Q12" s="3">
        <f>N12*P12</f>
        <v>0</v>
      </c>
    </row>
    <row r="13" spans="2:17" x14ac:dyDescent="0.3">
      <c r="B13" t="s">
        <v>115</v>
      </c>
      <c r="C13" t="s">
        <v>4</v>
      </c>
      <c r="D13" t="s">
        <v>20</v>
      </c>
      <c r="E13" s="1">
        <v>0</v>
      </c>
      <c r="F13" s="6">
        <f>IF($E$5=0,0,E13/$E$5)</f>
        <v>0</v>
      </c>
      <c r="G13" s="6">
        <f>F13*$E$6</f>
        <v>0</v>
      </c>
      <c r="H13" s="1">
        <f>ROUNDDOWN(G13,0)</f>
        <v>0</v>
      </c>
      <c r="I13" s="3">
        <v>0</v>
      </c>
      <c r="J13" s="3">
        <f>IF(E13=0,0,I13/E13)</f>
        <v>0</v>
      </c>
      <c r="K13" s="3">
        <f>J13*H13</f>
        <v>0</v>
      </c>
      <c r="L13" s="1">
        <v>0</v>
      </c>
      <c r="M13" s="6">
        <f>IF($E$5=0,0,L13/$E$5)</f>
        <v>0</v>
      </c>
      <c r="N13" s="1">
        <f>ROUNDDOWN(M13*$E$6,0)</f>
        <v>0</v>
      </c>
      <c r="O13" s="3">
        <v>0</v>
      </c>
      <c r="P13" s="3">
        <f>IF(L13=0,0,O13/L13)</f>
        <v>0</v>
      </c>
      <c r="Q13" s="3">
        <f>N13*P13</f>
        <v>0</v>
      </c>
    </row>
    <row r="14" spans="2:17" x14ac:dyDescent="0.3">
      <c r="B14" t="s">
        <v>115</v>
      </c>
      <c r="C14" t="s">
        <v>27</v>
      </c>
      <c r="D14" t="s">
        <v>20</v>
      </c>
      <c r="E14" s="1">
        <v>0</v>
      </c>
      <c r="F14" s="6">
        <f>IF($E$5=0,0,E14/$E$5)</f>
        <v>0</v>
      </c>
      <c r="G14" s="6">
        <f>F14*$E$6</f>
        <v>0</v>
      </c>
      <c r="H14" s="1">
        <f>ROUNDDOWN(G14,0)</f>
        <v>0</v>
      </c>
      <c r="I14" s="3">
        <v>0</v>
      </c>
      <c r="J14" s="3">
        <f>IF(E14=0,0,I14/E14)</f>
        <v>0</v>
      </c>
      <c r="K14" s="3">
        <f>J14*H14</f>
        <v>0</v>
      </c>
      <c r="L14" s="1">
        <v>0</v>
      </c>
      <c r="M14" s="6">
        <f>IF($E$5=0,0,L14/$E$5)</f>
        <v>0</v>
      </c>
      <c r="N14" s="1">
        <f>ROUNDDOWN(M14*$E$6,0)</f>
        <v>0</v>
      </c>
      <c r="O14" s="3">
        <v>0</v>
      </c>
      <c r="P14" s="3">
        <f>IF(L14=0,0,O14/L14)</f>
        <v>0</v>
      </c>
      <c r="Q14" s="3">
        <f>N14*P14</f>
        <v>0</v>
      </c>
    </row>
    <row r="15" spans="2:17" x14ac:dyDescent="0.3">
      <c r="B15" t="s">
        <v>115</v>
      </c>
      <c r="C15" t="s">
        <v>7</v>
      </c>
      <c r="D15" t="s">
        <v>20</v>
      </c>
      <c r="E15" s="1">
        <v>2</v>
      </c>
      <c r="F15" s="6">
        <f>IF($E$5=0,0,E15/$E$5)</f>
        <v>4.137189193661826E-5</v>
      </c>
      <c r="G15" s="6">
        <f>F15*$E$6</f>
        <v>7.6159860990443091</v>
      </c>
      <c r="H15" s="1">
        <f>ROUNDDOWN(G15,0)</f>
        <v>7</v>
      </c>
      <c r="I15" s="3">
        <v>600</v>
      </c>
      <c r="J15" s="3">
        <f>IF(E15=0,0,I15/E15)</f>
        <v>300</v>
      </c>
      <c r="K15" s="3">
        <f>J15*H15</f>
        <v>2100</v>
      </c>
      <c r="L15" s="1">
        <v>1</v>
      </c>
      <c r="M15" s="6">
        <f>IF($E$5=0,0,L15/$E$5)</f>
        <v>2.068594596830913E-5</v>
      </c>
      <c r="N15" s="1">
        <f>ROUNDDOWN(M15*$E$6,0)</f>
        <v>3</v>
      </c>
      <c r="O15" s="3">
        <v>0</v>
      </c>
      <c r="P15" s="3">
        <f>IF(L15=0,0,O15/L15)</f>
        <v>0</v>
      </c>
      <c r="Q15" s="3">
        <f>N15*P15</f>
        <v>0</v>
      </c>
    </row>
    <row r="16" spans="2:17" x14ac:dyDescent="0.3">
      <c r="B16" t="s">
        <v>115</v>
      </c>
      <c r="C16" t="s">
        <v>28</v>
      </c>
      <c r="D16" t="s">
        <v>20</v>
      </c>
      <c r="E16" s="1">
        <v>1</v>
      </c>
      <c r="F16" s="6">
        <f>IF($E$5=0,0,E16/$E$5)</f>
        <v>2.068594596830913E-5</v>
      </c>
      <c r="G16" s="6">
        <f>F16*$E$6</f>
        <v>3.8079930495221546</v>
      </c>
      <c r="H16" s="1">
        <f>ROUNDDOWN(G16,0)</f>
        <v>3</v>
      </c>
      <c r="I16" s="3">
        <v>0</v>
      </c>
      <c r="J16" s="3">
        <f>IF(E16=0,0,I16/E16)</f>
        <v>0</v>
      </c>
      <c r="K16" s="3">
        <f>J16*H16</f>
        <v>0</v>
      </c>
      <c r="L16" s="1">
        <v>0</v>
      </c>
      <c r="M16" s="6">
        <f>IF($E$5=0,0,L16/$E$5)</f>
        <v>0</v>
      </c>
      <c r="N16" s="1">
        <f>ROUNDDOWN(M16*$E$6,0)</f>
        <v>0</v>
      </c>
      <c r="O16" s="3">
        <v>0</v>
      </c>
      <c r="P16" s="3">
        <f>IF(L16=0,0,O16/L16)</f>
        <v>0</v>
      </c>
      <c r="Q16" s="3">
        <f>N16*P16</f>
        <v>0</v>
      </c>
    </row>
    <row r="17" spans="2:17" x14ac:dyDescent="0.3">
      <c r="B17" t="s">
        <v>115</v>
      </c>
      <c r="C17" t="s">
        <v>84</v>
      </c>
      <c r="D17" t="s">
        <v>20</v>
      </c>
      <c r="E17" s="1">
        <v>4</v>
      </c>
      <c r="F17" s="6">
        <f>IF($E$5=0,0,E17/$E$5)</f>
        <v>8.274378387323652E-5</v>
      </c>
      <c r="G17" s="6">
        <f>F17*$E$6</f>
        <v>15.231972198088618</v>
      </c>
      <c r="H17" s="1">
        <f>ROUNDDOWN(G17,0)</f>
        <v>15</v>
      </c>
      <c r="I17" s="3">
        <v>0</v>
      </c>
      <c r="J17" s="3">
        <f>IF(E17=0,0,I17/E17)</f>
        <v>0</v>
      </c>
      <c r="K17" s="3">
        <f>J17*H17</f>
        <v>0</v>
      </c>
      <c r="L17" s="1">
        <v>1</v>
      </c>
      <c r="M17" s="6">
        <f>IF($E$5=0,0,L17/$E$5)</f>
        <v>2.068594596830913E-5</v>
      </c>
      <c r="N17" s="1">
        <f>ROUNDDOWN(M17*$E$6,0)</f>
        <v>3</v>
      </c>
      <c r="O17" s="3">
        <v>0</v>
      </c>
      <c r="P17" s="3">
        <f>IF(L17=0,0,O17/L17)</f>
        <v>0</v>
      </c>
      <c r="Q17" s="3">
        <f>N17*P17</f>
        <v>0</v>
      </c>
    </row>
    <row r="18" spans="2:17" x14ac:dyDescent="0.3">
      <c r="B18" t="s">
        <v>115</v>
      </c>
      <c r="C18" t="s">
        <v>30</v>
      </c>
      <c r="D18" t="s">
        <v>20</v>
      </c>
      <c r="E18" s="1">
        <v>0</v>
      </c>
      <c r="F18" s="6">
        <f>IF($E$5=0,0,E18/$E$5)</f>
        <v>0</v>
      </c>
      <c r="G18" s="6">
        <f>F18*$E$6</f>
        <v>0</v>
      </c>
      <c r="H18" s="1">
        <f>ROUNDDOWN(G18,0)</f>
        <v>0</v>
      </c>
      <c r="I18" s="3">
        <v>0</v>
      </c>
      <c r="J18" s="3">
        <f>IF(E18=0,0,I18/E18)</f>
        <v>0</v>
      </c>
      <c r="K18" s="3">
        <f>J18*H18</f>
        <v>0</v>
      </c>
      <c r="L18" s="1">
        <v>0</v>
      </c>
      <c r="M18" s="6">
        <f>IF($E$5=0,0,L18/$E$5)</f>
        <v>0</v>
      </c>
      <c r="N18" s="1">
        <f>ROUNDDOWN(M18*$E$6,0)</f>
        <v>0</v>
      </c>
      <c r="O18" s="3">
        <v>0</v>
      </c>
      <c r="P18" s="3">
        <f>IF(L18=0,0,O18/L18)</f>
        <v>0</v>
      </c>
      <c r="Q18" s="3">
        <f>N18*P18</f>
        <v>0</v>
      </c>
    </row>
    <row r="19" spans="2:17" x14ac:dyDescent="0.3">
      <c r="B19" t="s">
        <v>115</v>
      </c>
      <c r="C19" t="s">
        <v>31</v>
      </c>
      <c r="D19" t="s">
        <v>20</v>
      </c>
      <c r="E19" s="1">
        <v>2</v>
      </c>
      <c r="F19" s="6">
        <f>IF($E$5=0,0,E19/$E$5)</f>
        <v>4.137189193661826E-5</v>
      </c>
      <c r="G19" s="6">
        <f>F19*$E$6</f>
        <v>7.6159860990443091</v>
      </c>
      <c r="H19" s="1">
        <f>ROUNDDOWN(G19,0)</f>
        <v>7</v>
      </c>
      <c r="I19" s="3">
        <v>600</v>
      </c>
      <c r="J19" s="3">
        <f>IF(E19=0,0,I19/E19)</f>
        <v>300</v>
      </c>
      <c r="K19" s="3">
        <f>J19*H19</f>
        <v>2100</v>
      </c>
      <c r="L19" s="1">
        <v>0</v>
      </c>
      <c r="M19" s="6">
        <f>IF($E$5=0,0,L19/$E$5)</f>
        <v>0</v>
      </c>
      <c r="N19" s="1">
        <f>ROUNDDOWN(M19*$E$6,0)</f>
        <v>0</v>
      </c>
      <c r="O19" s="3">
        <v>0</v>
      </c>
      <c r="P19" s="3">
        <f>IF(L19=0,0,O19/L19)</f>
        <v>0</v>
      </c>
      <c r="Q19" s="3">
        <f>N19*P19</f>
        <v>0</v>
      </c>
    </row>
    <row r="20" spans="2:17" x14ac:dyDescent="0.3">
      <c r="B20" t="s">
        <v>115</v>
      </c>
      <c r="C20" t="s">
        <v>32</v>
      </c>
      <c r="D20" t="s">
        <v>20</v>
      </c>
      <c r="E20" s="1">
        <v>1</v>
      </c>
      <c r="F20" s="6">
        <f>IF($E$5=0,0,E20/$E$5)</f>
        <v>2.068594596830913E-5</v>
      </c>
      <c r="G20" s="6">
        <f>F20*$E$6</f>
        <v>3.8079930495221546</v>
      </c>
      <c r="H20" s="1">
        <f>ROUNDDOWN(G20,0)</f>
        <v>3</v>
      </c>
      <c r="I20" s="3">
        <v>98000</v>
      </c>
      <c r="J20" s="3">
        <f>IF(E20=0,0,I20/E20)</f>
        <v>98000</v>
      </c>
      <c r="K20" s="3">
        <f>J20*H20</f>
        <v>294000</v>
      </c>
      <c r="L20" s="1">
        <v>0</v>
      </c>
      <c r="M20" s="6">
        <f>IF($E$5=0,0,L20/$E$5)</f>
        <v>0</v>
      </c>
      <c r="N20" s="1">
        <f>ROUNDDOWN(M20*$E$6,0)</f>
        <v>0</v>
      </c>
      <c r="O20" s="3">
        <v>44000</v>
      </c>
      <c r="P20" s="3">
        <f>IF(L20=0,0,O20/L20)</f>
        <v>0</v>
      </c>
      <c r="Q20" s="3">
        <f>N20*P20</f>
        <v>0</v>
      </c>
    </row>
    <row r="21" spans="2:17" x14ac:dyDescent="0.3">
      <c r="B21" t="s">
        <v>115</v>
      </c>
      <c r="C21" t="s">
        <v>33</v>
      </c>
      <c r="D21" t="s">
        <v>20</v>
      </c>
      <c r="E21" s="1">
        <v>0</v>
      </c>
      <c r="F21" s="6">
        <f>IF($E$5=0,0,E21/$E$5)</f>
        <v>0</v>
      </c>
      <c r="G21" s="6">
        <f>F21*$E$6</f>
        <v>0</v>
      </c>
      <c r="H21" s="1">
        <f>ROUNDDOWN(G21,0)</f>
        <v>0</v>
      </c>
      <c r="I21" s="3">
        <v>0</v>
      </c>
      <c r="J21" s="3">
        <f>IF(E21=0,0,I21/E21)</f>
        <v>0</v>
      </c>
      <c r="K21" s="3">
        <f>J21*H21</f>
        <v>0</v>
      </c>
      <c r="L21" s="1">
        <v>0</v>
      </c>
      <c r="M21" s="6">
        <f>IF($E$5=0,0,L21/$E$5)</f>
        <v>0</v>
      </c>
      <c r="N21" s="1">
        <f>ROUNDDOWN(M21*$E$6,0)</f>
        <v>0</v>
      </c>
      <c r="O21" s="3">
        <v>0</v>
      </c>
      <c r="P21" s="3">
        <f>IF(L21=0,0,O21/L21)</f>
        <v>0</v>
      </c>
      <c r="Q21" s="3">
        <f>N21*P21</f>
        <v>0</v>
      </c>
    </row>
    <row r="22" spans="2:17" x14ac:dyDescent="0.3">
      <c r="B22" t="s">
        <v>115</v>
      </c>
      <c r="C22" t="s">
        <v>8</v>
      </c>
      <c r="D22" t="s">
        <v>20</v>
      </c>
      <c r="E22" s="1">
        <v>0</v>
      </c>
      <c r="F22" s="6">
        <f>IF($E$5=0,0,E22/$E$5)</f>
        <v>0</v>
      </c>
      <c r="G22" s="6">
        <f>F22*$E$6</f>
        <v>0</v>
      </c>
      <c r="H22" s="1">
        <f>ROUNDDOWN(G22,0)</f>
        <v>0</v>
      </c>
      <c r="I22" s="3">
        <v>0</v>
      </c>
      <c r="J22" s="3">
        <f>IF(E22=0,0,I22/E22)</f>
        <v>0</v>
      </c>
      <c r="K22" s="3">
        <f>J22*H22</f>
        <v>0</v>
      </c>
      <c r="L22" s="1">
        <v>0</v>
      </c>
      <c r="M22" s="6">
        <f>IF($E$5=0,0,L22/$E$5)</f>
        <v>0</v>
      </c>
      <c r="N22" s="1">
        <f>ROUNDDOWN(M22*$E$6,0)</f>
        <v>0</v>
      </c>
      <c r="O22" s="3">
        <v>0</v>
      </c>
      <c r="P22" s="3">
        <f>IF(L22=0,0,O22/L22)</f>
        <v>0</v>
      </c>
      <c r="Q22" s="3">
        <f>N22*P22</f>
        <v>0</v>
      </c>
    </row>
    <row r="23" spans="2:17" x14ac:dyDescent="0.3">
      <c r="B23" t="s">
        <v>115</v>
      </c>
      <c r="C23" t="s">
        <v>34</v>
      </c>
      <c r="D23" t="s">
        <v>20</v>
      </c>
      <c r="E23" s="1">
        <v>0</v>
      </c>
      <c r="F23" s="6">
        <f>IF($E$5=0,0,E23/$E$5)</f>
        <v>0</v>
      </c>
      <c r="G23" s="6">
        <f>F23*$E$6</f>
        <v>0</v>
      </c>
      <c r="H23" s="1">
        <f>ROUNDDOWN(G23,0)</f>
        <v>0</v>
      </c>
      <c r="I23" s="3">
        <v>0</v>
      </c>
      <c r="J23" s="3">
        <f>IF(E23=0,0,I23/E23)</f>
        <v>0</v>
      </c>
      <c r="K23" s="3">
        <f>J23*H23</f>
        <v>0</v>
      </c>
      <c r="L23" s="1">
        <v>0</v>
      </c>
      <c r="M23" s="6">
        <f>IF($E$5=0,0,L23/$E$5)</f>
        <v>0</v>
      </c>
      <c r="N23" s="1">
        <f>ROUNDDOWN(M23*$E$6,0)</f>
        <v>0</v>
      </c>
      <c r="O23" s="3">
        <v>0</v>
      </c>
      <c r="P23" s="3">
        <f>IF(L23=0,0,O23/L23)</f>
        <v>0</v>
      </c>
      <c r="Q23" s="3">
        <f>N23*P23</f>
        <v>0</v>
      </c>
    </row>
    <row r="24" spans="2:17" x14ac:dyDescent="0.3">
      <c r="B24" t="s">
        <v>115</v>
      </c>
      <c r="C24" t="s">
        <v>35</v>
      </c>
      <c r="D24" t="s">
        <v>20</v>
      </c>
      <c r="E24" s="1">
        <v>0</v>
      </c>
      <c r="F24" s="6">
        <f>IF($E$5=0,0,E24/$E$5)</f>
        <v>0</v>
      </c>
      <c r="G24" s="6">
        <f>F24*$E$6</f>
        <v>0</v>
      </c>
      <c r="H24" s="1">
        <f>ROUNDDOWN(G24,0)</f>
        <v>0</v>
      </c>
      <c r="I24" s="3">
        <v>0</v>
      </c>
      <c r="J24" s="3">
        <f>IF(E24=0,0,I24/E24)</f>
        <v>0</v>
      </c>
      <c r="K24" s="3">
        <f>J24*H24</f>
        <v>0</v>
      </c>
      <c r="L24" s="1">
        <v>0</v>
      </c>
      <c r="M24" s="6">
        <f>IF($E$5=0,0,L24/$E$5)</f>
        <v>0</v>
      </c>
      <c r="N24" s="1">
        <f>ROUNDDOWN(M24*$E$6,0)</f>
        <v>0</v>
      </c>
      <c r="O24" s="3">
        <v>0</v>
      </c>
      <c r="P24" s="3">
        <f>IF(L24=0,0,O24/L24)</f>
        <v>0</v>
      </c>
      <c r="Q24" s="3">
        <f>N24*P24</f>
        <v>0</v>
      </c>
    </row>
    <row r="25" spans="2:17" x14ac:dyDescent="0.3">
      <c r="B25" t="s">
        <v>115</v>
      </c>
      <c r="C25" t="s">
        <v>36</v>
      </c>
      <c r="D25" t="s">
        <v>20</v>
      </c>
      <c r="E25" s="1">
        <v>10</v>
      </c>
      <c r="F25" s="6">
        <f>IF($E$5=0,0,E25/$E$5)</f>
        <v>2.0685945968309131E-4</v>
      </c>
      <c r="G25" s="6">
        <f>F25*$E$6</f>
        <v>38.079930495221546</v>
      </c>
      <c r="H25" s="1">
        <f>ROUNDDOWN(G25,0)</f>
        <v>38</v>
      </c>
      <c r="I25" s="3">
        <v>0</v>
      </c>
      <c r="J25" s="3">
        <f>IF(E25=0,0,I25/E25)</f>
        <v>0</v>
      </c>
      <c r="K25" s="3">
        <f>J25*H25</f>
        <v>0</v>
      </c>
      <c r="L25" s="1">
        <v>1</v>
      </c>
      <c r="M25" s="6">
        <f>IF($E$5=0,0,L25/$E$5)</f>
        <v>2.068594596830913E-5</v>
      </c>
      <c r="N25" s="1">
        <f>ROUNDDOWN(M25*$E$6,0)</f>
        <v>3</v>
      </c>
      <c r="O25" s="3">
        <v>0</v>
      </c>
      <c r="P25" s="3">
        <f>IF(L25=0,0,O25/L25)</f>
        <v>0</v>
      </c>
      <c r="Q25" s="3">
        <f>N25*P25</f>
        <v>0</v>
      </c>
    </row>
    <row r="26" spans="2:17" x14ac:dyDescent="0.3">
      <c r="B26" t="s">
        <v>115</v>
      </c>
      <c r="C26" t="s">
        <v>37</v>
      </c>
      <c r="D26" t="s">
        <v>20</v>
      </c>
      <c r="E26" s="1">
        <v>3</v>
      </c>
      <c r="F26" s="6">
        <f>IF($E$5=0,0,E26/$E$5)</f>
        <v>6.2057837904927387E-5</v>
      </c>
      <c r="G26" s="6">
        <f>F26*$E$6</f>
        <v>11.423979148566463</v>
      </c>
      <c r="H26" s="1">
        <f>ROUNDDOWN(G26,0)</f>
        <v>11</v>
      </c>
      <c r="I26" s="3">
        <v>3020</v>
      </c>
      <c r="J26" s="3">
        <f>IF(E26=0,0,I26/E26)</f>
        <v>1006.6666666666666</v>
      </c>
      <c r="K26" s="3">
        <f>J26*H26</f>
        <v>11073.333333333332</v>
      </c>
      <c r="L26" s="1">
        <v>0</v>
      </c>
      <c r="M26" s="6">
        <f>IF($E$5=0,0,L26/$E$5)</f>
        <v>0</v>
      </c>
      <c r="N26" s="1">
        <f>ROUNDDOWN(M26*$E$6,0)</f>
        <v>0</v>
      </c>
      <c r="O26" s="3">
        <v>0</v>
      </c>
      <c r="P26" s="3">
        <f>IF(L26=0,0,O26/L26)</f>
        <v>0</v>
      </c>
      <c r="Q26" s="3">
        <f>N26*P26</f>
        <v>0</v>
      </c>
    </row>
    <row r="27" spans="2:17" x14ac:dyDescent="0.3">
      <c r="B27" t="s">
        <v>115</v>
      </c>
      <c r="C27" t="s">
        <v>38</v>
      </c>
      <c r="D27" t="s">
        <v>20</v>
      </c>
      <c r="E27" s="1">
        <v>4</v>
      </c>
      <c r="F27" s="6">
        <f>IF($E$5=0,0,E27/$E$5)</f>
        <v>8.274378387323652E-5</v>
      </c>
      <c r="G27" s="6">
        <f>F27*$E$6</f>
        <v>15.231972198088618</v>
      </c>
      <c r="H27" s="1">
        <f>ROUNDDOWN(G27,0)</f>
        <v>15</v>
      </c>
      <c r="I27" s="3">
        <v>0</v>
      </c>
      <c r="J27" s="3">
        <f>IF(E27=0,0,I27/E27)</f>
        <v>0</v>
      </c>
      <c r="K27" s="3">
        <f>J27*H27</f>
        <v>0</v>
      </c>
      <c r="L27" s="1">
        <v>1</v>
      </c>
      <c r="M27" s="6">
        <f>IF($E$5=0,0,L27/$E$5)</f>
        <v>2.068594596830913E-5</v>
      </c>
      <c r="N27" s="1">
        <f>ROUNDDOWN(M27*$E$6,0)</f>
        <v>3</v>
      </c>
      <c r="O27" s="3">
        <v>0</v>
      </c>
      <c r="P27" s="3">
        <f>IF(L27=0,0,O27/L27)</f>
        <v>0</v>
      </c>
      <c r="Q27" s="3">
        <f>N27*P27</f>
        <v>0</v>
      </c>
    </row>
    <row r="28" spans="2:17" x14ac:dyDescent="0.3">
      <c r="B28" t="s">
        <v>115</v>
      </c>
      <c r="C28" t="s">
        <v>39</v>
      </c>
      <c r="D28" t="s">
        <v>20</v>
      </c>
      <c r="E28" s="1">
        <v>0</v>
      </c>
      <c r="F28" s="6">
        <f>IF($E$5=0,0,E28/$E$5)</f>
        <v>0</v>
      </c>
      <c r="G28" s="6">
        <f>F28*$E$6</f>
        <v>0</v>
      </c>
      <c r="H28" s="1">
        <f>ROUNDDOWN(G28,0)</f>
        <v>0</v>
      </c>
      <c r="I28" s="3">
        <v>0</v>
      </c>
      <c r="J28" s="3">
        <f>IF(E28=0,0,I28/E28)</f>
        <v>0</v>
      </c>
      <c r="K28" s="3">
        <f>J28*H28</f>
        <v>0</v>
      </c>
      <c r="L28" s="1">
        <v>0</v>
      </c>
      <c r="M28" s="6">
        <f>IF($E$5=0,0,L28/$E$5)</f>
        <v>0</v>
      </c>
      <c r="N28" s="1">
        <f>ROUNDDOWN(M28*$E$6,0)</f>
        <v>0</v>
      </c>
      <c r="O28" s="3">
        <v>0</v>
      </c>
      <c r="P28" s="3">
        <f>IF(L28=0,0,O28/L28)</f>
        <v>0</v>
      </c>
      <c r="Q28" s="3">
        <f>N28*P28</f>
        <v>0</v>
      </c>
    </row>
    <row r="29" spans="2:17" x14ac:dyDescent="0.3">
      <c r="B29" t="s">
        <v>115</v>
      </c>
      <c r="C29" t="s">
        <v>9</v>
      </c>
      <c r="D29" t="s">
        <v>20</v>
      </c>
      <c r="E29" s="1">
        <v>3</v>
      </c>
      <c r="F29" s="6">
        <f>IF($E$5=0,0,E29/$E$5)</f>
        <v>6.2057837904927387E-5</v>
      </c>
      <c r="G29" s="6">
        <f>F29*$E$6</f>
        <v>11.423979148566463</v>
      </c>
      <c r="H29" s="1">
        <f>ROUNDDOWN(G29,0)</f>
        <v>11</v>
      </c>
      <c r="I29" s="3">
        <v>0</v>
      </c>
      <c r="J29" s="3">
        <f>IF(E29=0,0,I29/E29)</f>
        <v>0</v>
      </c>
      <c r="K29" s="3">
        <f>J29*H29</f>
        <v>0</v>
      </c>
      <c r="L29" s="1">
        <v>1</v>
      </c>
      <c r="M29" s="6">
        <f>IF($E$5=0,0,L29/$E$5)</f>
        <v>2.068594596830913E-5</v>
      </c>
      <c r="N29" s="1">
        <f>ROUNDDOWN(M29*$E$6,0)</f>
        <v>3</v>
      </c>
      <c r="O29" s="3">
        <v>0</v>
      </c>
      <c r="P29" s="3">
        <f>IF(L29=0,0,O29/L29)</f>
        <v>0</v>
      </c>
      <c r="Q29" s="3">
        <f>N29*P29</f>
        <v>0</v>
      </c>
    </row>
    <row r="30" spans="2:17" x14ac:dyDescent="0.3">
      <c r="B30" t="s">
        <v>115</v>
      </c>
      <c r="C30" t="s">
        <v>10</v>
      </c>
      <c r="D30" t="s">
        <v>20</v>
      </c>
      <c r="E30" s="1">
        <v>1</v>
      </c>
      <c r="F30" s="6">
        <f>IF($E$5=0,0,E30/$E$5)</f>
        <v>2.068594596830913E-5</v>
      </c>
      <c r="G30" s="6">
        <f>F30*$E$6</f>
        <v>3.8079930495221546</v>
      </c>
      <c r="H30" s="1">
        <f>ROUNDDOWN(G30,0)</f>
        <v>3</v>
      </c>
      <c r="I30" s="3">
        <v>0</v>
      </c>
      <c r="J30" s="3">
        <f>IF(E30=0,0,I30/E30)</f>
        <v>0</v>
      </c>
      <c r="K30" s="3">
        <f>J30*H30</f>
        <v>0</v>
      </c>
      <c r="L30" s="1">
        <v>0</v>
      </c>
      <c r="M30" s="6">
        <f>IF($E$5=0,0,L30/$E$5)</f>
        <v>0</v>
      </c>
      <c r="N30" s="1">
        <f>ROUNDDOWN(M30*$E$6,0)</f>
        <v>0</v>
      </c>
      <c r="O30" s="3">
        <v>0</v>
      </c>
      <c r="P30" s="3">
        <f>IF(L30=0,0,O30/L30)</f>
        <v>0</v>
      </c>
      <c r="Q30" s="3">
        <f>N30*P30</f>
        <v>0</v>
      </c>
    </row>
    <row r="31" spans="2:17" x14ac:dyDescent="0.3">
      <c r="B31" t="s">
        <v>115</v>
      </c>
      <c r="C31" t="s">
        <v>11</v>
      </c>
      <c r="D31" t="s">
        <v>20</v>
      </c>
      <c r="E31" s="1">
        <v>0</v>
      </c>
      <c r="F31" s="6">
        <f>IF($E$5=0,0,E31/$E$5)</f>
        <v>0</v>
      </c>
      <c r="G31" s="6">
        <f>F31*$E$6</f>
        <v>0</v>
      </c>
      <c r="H31" s="1">
        <f>ROUNDDOWN(G31,0)</f>
        <v>0</v>
      </c>
      <c r="I31" s="3">
        <v>0</v>
      </c>
      <c r="J31" s="3">
        <f>IF(E31=0,0,I31/E31)</f>
        <v>0</v>
      </c>
      <c r="K31" s="3">
        <f>J31*H31</f>
        <v>0</v>
      </c>
      <c r="L31" s="1">
        <v>0</v>
      </c>
      <c r="M31" s="6">
        <f>IF($E$5=0,0,L31/$E$5)</f>
        <v>0</v>
      </c>
      <c r="N31" s="1">
        <f>ROUNDDOWN(M31*$E$6,0)</f>
        <v>0</v>
      </c>
      <c r="O31" s="3">
        <v>0</v>
      </c>
      <c r="P31" s="3">
        <f>IF(L31=0,0,O31/L31)</f>
        <v>0</v>
      </c>
      <c r="Q31" s="3">
        <f>N31*P31</f>
        <v>0</v>
      </c>
    </row>
    <row r="32" spans="2:17" x14ac:dyDescent="0.3">
      <c r="B32" t="s">
        <v>115</v>
      </c>
      <c r="C32" t="s">
        <v>40</v>
      </c>
      <c r="D32" t="s">
        <v>20</v>
      </c>
      <c r="E32" s="1">
        <v>0</v>
      </c>
      <c r="F32" s="6">
        <f>IF($E$5=0,0,E32/$E$5)</f>
        <v>0</v>
      </c>
      <c r="G32" s="6">
        <f>F32*$E$6</f>
        <v>0</v>
      </c>
      <c r="H32" s="1">
        <f>ROUNDDOWN(G32,0)</f>
        <v>0</v>
      </c>
      <c r="I32" s="3">
        <v>0</v>
      </c>
      <c r="J32" s="3">
        <f>IF(E32=0,0,I32/E32)</f>
        <v>0</v>
      </c>
      <c r="K32" s="3">
        <f>J32*H32</f>
        <v>0</v>
      </c>
      <c r="L32" s="1">
        <v>0</v>
      </c>
      <c r="M32" s="6">
        <f>IF($E$5=0,0,L32/$E$5)</f>
        <v>0</v>
      </c>
      <c r="N32" s="1">
        <f>ROUNDDOWN(M32*$E$6,0)</f>
        <v>0</v>
      </c>
      <c r="O32" s="3">
        <v>0</v>
      </c>
      <c r="P32" s="3">
        <f>IF(L32=0,0,O32/L32)</f>
        <v>0</v>
      </c>
      <c r="Q32" s="3">
        <f>N32*P32</f>
        <v>0</v>
      </c>
    </row>
    <row r="33" spans="2:17" x14ac:dyDescent="0.3">
      <c r="B33" t="s">
        <v>115</v>
      </c>
      <c r="C33" t="s">
        <v>41</v>
      </c>
      <c r="D33" t="s">
        <v>20</v>
      </c>
      <c r="E33" s="1">
        <v>0</v>
      </c>
      <c r="F33" s="6">
        <f>IF($E$5=0,0,E33/$E$5)</f>
        <v>0</v>
      </c>
      <c r="G33" s="6">
        <f>F33*$E$6</f>
        <v>0</v>
      </c>
      <c r="H33" s="1">
        <f>ROUNDDOWN(G33,0)</f>
        <v>0</v>
      </c>
      <c r="I33" s="3">
        <v>0</v>
      </c>
      <c r="J33" s="3">
        <f>IF(E33=0,0,I33/E33)</f>
        <v>0</v>
      </c>
      <c r="K33" s="3">
        <f>J33*H33</f>
        <v>0</v>
      </c>
      <c r="L33" s="1">
        <v>0</v>
      </c>
      <c r="M33" s="6">
        <f>IF($E$5=0,0,L33/$E$5)</f>
        <v>0</v>
      </c>
      <c r="N33" s="1">
        <f>ROUNDDOWN(M33*$E$6,0)</f>
        <v>0</v>
      </c>
      <c r="O33" s="3">
        <v>0</v>
      </c>
      <c r="P33" s="3">
        <f>IF(L33=0,0,O33/L33)</f>
        <v>0</v>
      </c>
      <c r="Q33" s="3">
        <f>N33*P33</f>
        <v>0</v>
      </c>
    </row>
    <row r="34" spans="2:17" x14ac:dyDescent="0.3">
      <c r="B34" t="s">
        <v>115</v>
      </c>
      <c r="C34" t="s">
        <v>12</v>
      </c>
      <c r="D34" t="s">
        <v>20</v>
      </c>
      <c r="E34" s="1">
        <v>1</v>
      </c>
      <c r="F34" s="6">
        <f>IF($E$5=0,0,E34/$E$5)</f>
        <v>2.068594596830913E-5</v>
      </c>
      <c r="G34" s="6">
        <f>F34*$E$6</f>
        <v>3.8079930495221546</v>
      </c>
      <c r="H34" s="1">
        <f>ROUNDDOWN(G34,0)</f>
        <v>3</v>
      </c>
      <c r="I34" s="3">
        <v>0</v>
      </c>
      <c r="J34" s="3">
        <f>IF(E34=0,0,I34/E34)</f>
        <v>0</v>
      </c>
      <c r="K34" s="3">
        <f>J34*H34</f>
        <v>0</v>
      </c>
      <c r="L34" s="1">
        <v>0</v>
      </c>
      <c r="M34" s="6">
        <f>IF($E$5=0,0,L34/$E$5)</f>
        <v>0</v>
      </c>
      <c r="N34" s="1">
        <f>ROUNDDOWN(M34*$E$6,0)</f>
        <v>0</v>
      </c>
      <c r="O34" s="3">
        <v>0</v>
      </c>
      <c r="P34" s="3">
        <f>IF(L34=0,0,O34/L34)</f>
        <v>0</v>
      </c>
      <c r="Q34" s="3">
        <f>N34*P34</f>
        <v>0</v>
      </c>
    </row>
    <row r="35" spans="2:17" x14ac:dyDescent="0.3">
      <c r="B35" t="s">
        <v>115</v>
      </c>
      <c r="C35" t="s">
        <v>42</v>
      </c>
      <c r="D35" t="s">
        <v>20</v>
      </c>
      <c r="E35" s="1">
        <v>3</v>
      </c>
      <c r="F35" s="6">
        <f>IF($E$5=0,0,E35/$E$5)</f>
        <v>6.2057837904927387E-5</v>
      </c>
      <c r="G35" s="6">
        <f>F35*$E$6</f>
        <v>11.423979148566463</v>
      </c>
      <c r="H35" s="1">
        <f>ROUNDDOWN(G35,0)</f>
        <v>11</v>
      </c>
      <c r="I35" s="3">
        <v>12636</v>
      </c>
      <c r="J35" s="3">
        <f>IF(E35=0,0,I35/E35)</f>
        <v>4212</v>
      </c>
      <c r="K35" s="3">
        <f>J35*H35</f>
        <v>46332</v>
      </c>
      <c r="L35" s="1">
        <v>0</v>
      </c>
      <c r="M35" s="6">
        <f>IF($E$5=0,0,L35/$E$5)</f>
        <v>0</v>
      </c>
      <c r="N35" s="1">
        <f>ROUNDDOWN(M35*$E$6,0)</f>
        <v>0</v>
      </c>
      <c r="O35" s="3">
        <v>6000</v>
      </c>
      <c r="P35" s="3">
        <f>IF(L35=0,0,O35/L35)</f>
        <v>0</v>
      </c>
      <c r="Q35" s="3">
        <f>N35*P35</f>
        <v>0</v>
      </c>
    </row>
    <row r="36" spans="2:17" x14ac:dyDescent="0.3">
      <c r="B36" t="s">
        <v>115</v>
      </c>
      <c r="C36" t="s">
        <v>13</v>
      </c>
      <c r="D36" t="s">
        <v>20</v>
      </c>
      <c r="E36" s="1">
        <v>1</v>
      </c>
      <c r="F36" s="6">
        <f>IF($E$5=0,0,E36/$E$5)</f>
        <v>2.068594596830913E-5</v>
      </c>
      <c r="G36" s="6">
        <f>F36*$E$6</f>
        <v>3.8079930495221546</v>
      </c>
      <c r="H36" s="1">
        <f>ROUNDDOWN(G36,0)</f>
        <v>3</v>
      </c>
      <c r="I36" s="3">
        <v>0</v>
      </c>
      <c r="J36" s="3">
        <f>IF(E36=0,0,I36/E36)</f>
        <v>0</v>
      </c>
      <c r="K36" s="3">
        <f>J36*H36</f>
        <v>0</v>
      </c>
      <c r="L36" s="1">
        <v>0</v>
      </c>
      <c r="M36" s="6">
        <f>IF($E$5=0,0,L36/$E$5)</f>
        <v>0</v>
      </c>
      <c r="N36" s="1">
        <f>ROUNDDOWN(M36*$E$6,0)</f>
        <v>0</v>
      </c>
      <c r="O36" s="3">
        <v>0</v>
      </c>
      <c r="P36" s="3">
        <f>IF(L36=0,0,O36/L36)</f>
        <v>0</v>
      </c>
      <c r="Q36" s="3">
        <f>N36*P36</f>
        <v>0</v>
      </c>
    </row>
    <row r="38" spans="2:17" x14ac:dyDescent="0.3">
      <c r="E38" s="1">
        <f>SUM(E7:E36)</f>
        <v>42</v>
      </c>
      <c r="G38" s="6">
        <f>SUM(G7:G36)</f>
        <v>159.93570807993052</v>
      </c>
      <c r="H38" s="1">
        <f>SUM(H7:H36)</f>
        <v>151</v>
      </c>
      <c r="I38" s="3">
        <f>SUM(I7:I36)</f>
        <v>128316</v>
      </c>
      <c r="J38" s="3">
        <f>IF(E38=0,0,I38/E38)</f>
        <v>3055.1428571428573</v>
      </c>
      <c r="K38" s="3">
        <f>H38*J38</f>
        <v>461326.57142857148</v>
      </c>
      <c r="L38" s="1">
        <f>SUM(L7:L36)</f>
        <v>5</v>
      </c>
      <c r="N38" s="1">
        <f>SUM(N7:N36)</f>
        <v>15</v>
      </c>
      <c r="O38" s="3">
        <f>SUM(O7:O36)</f>
        <v>50000</v>
      </c>
      <c r="P38" s="3">
        <f>IF(L38=0,0,O38/L38)</f>
        <v>10000</v>
      </c>
      <c r="Q38" s="3">
        <f>N38*P38</f>
        <v>150000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D9348-7EE2-4D64-A629-9EB3595A01C0}">
  <dimension ref="B4:P38"/>
  <sheetViews>
    <sheetView workbookViewId="0"/>
  </sheetViews>
  <sheetFormatPr defaultRowHeight="14.4" x14ac:dyDescent="0.3"/>
  <cols>
    <col min="2" max="2" width="40.77734375" customWidth="1"/>
    <col min="3" max="3" width="35.21875" customWidth="1"/>
    <col min="4" max="4" width="18.5546875" customWidth="1"/>
    <col min="5" max="5" width="18.5546875" style="1" customWidth="1"/>
    <col min="6" max="7" width="18.5546875" style="6" customWidth="1"/>
    <col min="8" max="10" width="18.5546875" style="3" customWidth="1"/>
    <col min="11" max="11" width="18.5546875" style="1" customWidth="1"/>
    <col min="12" max="12" width="18.5546875" style="6" customWidth="1"/>
    <col min="13" max="13" width="18.5546875" style="1" customWidth="1"/>
    <col min="14" max="16" width="18.5546875" style="3" customWidth="1"/>
  </cols>
  <sheetData>
    <row r="4" spans="2:16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13" t="s">
        <v>22</v>
      </c>
      <c r="I4" s="13" t="s">
        <v>43</v>
      </c>
      <c r="J4" s="13" t="s">
        <v>44</v>
      </c>
      <c r="K4" s="9" t="s">
        <v>46</v>
      </c>
      <c r="L4" s="11" t="s">
        <v>48</v>
      </c>
      <c r="M4" s="9" t="s">
        <v>49</v>
      </c>
      <c r="N4" s="13" t="s">
        <v>47</v>
      </c>
      <c r="O4" s="13" t="s">
        <v>51</v>
      </c>
      <c r="P4" s="13" t="s">
        <v>50</v>
      </c>
    </row>
    <row r="5" spans="2:16" x14ac:dyDescent="0.3">
      <c r="B5" s="8" t="s">
        <v>85</v>
      </c>
      <c r="C5" s="8" t="s">
        <v>93</v>
      </c>
      <c r="D5" s="8" t="s">
        <v>6</v>
      </c>
      <c r="E5" s="10"/>
      <c r="F5" s="12" t="s">
        <v>14</v>
      </c>
      <c r="G5" s="12" t="s">
        <v>18</v>
      </c>
      <c r="H5" s="14"/>
      <c r="I5" s="14"/>
      <c r="J5" s="14" t="s">
        <v>45</v>
      </c>
      <c r="K5" s="10"/>
      <c r="L5" s="12"/>
      <c r="M5" s="10"/>
      <c r="N5" s="14"/>
      <c r="O5" s="14"/>
      <c r="P5" s="14" t="s">
        <v>52</v>
      </c>
    </row>
    <row r="6" spans="2:16" x14ac:dyDescent="0.3">
      <c r="B6" s="8" t="s">
        <v>17</v>
      </c>
      <c r="C6" s="8" t="s">
        <v>54</v>
      </c>
      <c r="D6" s="8" t="s">
        <v>6</v>
      </c>
      <c r="E6" s="10"/>
      <c r="F6" s="12"/>
      <c r="G6" s="12"/>
      <c r="H6" s="14"/>
      <c r="I6" s="14"/>
      <c r="J6" s="14"/>
      <c r="K6" s="10"/>
      <c r="L6" s="12"/>
      <c r="M6" s="10"/>
      <c r="N6" s="14"/>
      <c r="O6" s="14"/>
      <c r="P6" s="14"/>
    </row>
    <row r="7" spans="2:16" x14ac:dyDescent="0.3">
      <c r="B7" t="s">
        <v>94</v>
      </c>
      <c r="C7" t="s">
        <v>23</v>
      </c>
      <c r="D7" t="s">
        <v>20</v>
      </c>
      <c r="F7" s="6">
        <f>IF($E$5=0,0,E7/$E$5)</f>
        <v>0</v>
      </c>
      <c r="G7" s="6">
        <f>ROUNDDOWN(F7*$E$6,0)</f>
        <v>0</v>
      </c>
      <c r="I7" s="3">
        <f>IF(E7=0,0,H7/E7)</f>
        <v>0</v>
      </c>
      <c r="J7" s="3">
        <f>G7*I7</f>
        <v>0</v>
      </c>
      <c r="L7" s="6">
        <f>IF($E$5=0,0,K7/$E$5)</f>
        <v>0</v>
      </c>
      <c r="M7" s="1">
        <f>ROUNDDOWN(L7*$E$6,0)</f>
        <v>0</v>
      </c>
      <c r="O7" s="3">
        <f>IF(K7=0,0,N7/K7)</f>
        <v>0</v>
      </c>
      <c r="P7" s="3">
        <f>M7*O7</f>
        <v>0</v>
      </c>
    </row>
    <row r="8" spans="2:16" x14ac:dyDescent="0.3">
      <c r="B8" t="s">
        <v>94</v>
      </c>
      <c r="C8" t="s">
        <v>21</v>
      </c>
      <c r="D8" t="s">
        <v>20</v>
      </c>
      <c r="F8" s="6">
        <f>IF($E$5=0,0,E8/$E$5)</f>
        <v>0</v>
      </c>
      <c r="G8" s="6">
        <f>ROUNDDOWN(F8*$E$6,0)</f>
        <v>0</v>
      </c>
      <c r="I8" s="3">
        <f>IF(E8=0,0,H8/E8)</f>
        <v>0</v>
      </c>
      <c r="J8" s="3">
        <f>G8*I8</f>
        <v>0</v>
      </c>
      <c r="L8" s="6">
        <f>IF($E$5=0,0,K8/$E$5)</f>
        <v>0</v>
      </c>
      <c r="M8" s="1">
        <f>ROUNDDOWN(L8*$E$6,0)</f>
        <v>0</v>
      </c>
      <c r="O8" s="3">
        <f>IF(K8=0,0,N8/K8)</f>
        <v>0</v>
      </c>
      <c r="P8" s="3">
        <f>M8*O8</f>
        <v>0</v>
      </c>
    </row>
    <row r="9" spans="2:16" x14ac:dyDescent="0.3">
      <c r="B9" t="s">
        <v>94</v>
      </c>
      <c r="C9" t="s">
        <v>24</v>
      </c>
      <c r="D9" t="s">
        <v>20</v>
      </c>
      <c r="F9" s="6">
        <f>IF($E$5=0,0,E9/$E$5)</f>
        <v>0</v>
      </c>
      <c r="G9" s="6">
        <f>ROUNDDOWN(F9*$E$6,0)</f>
        <v>0</v>
      </c>
      <c r="I9" s="3">
        <f>IF(E9=0,0,H9/E9)</f>
        <v>0</v>
      </c>
      <c r="J9" s="3">
        <f>G9*I9</f>
        <v>0</v>
      </c>
      <c r="L9" s="6">
        <f>IF($E$5=0,0,K9/$E$5)</f>
        <v>0</v>
      </c>
      <c r="M9" s="1">
        <f>ROUNDDOWN(L9*$E$6,0)</f>
        <v>0</v>
      </c>
      <c r="O9" s="3">
        <f>IF(K9=0,0,N9/K9)</f>
        <v>0</v>
      </c>
      <c r="P9" s="3">
        <f>M9*O9</f>
        <v>0</v>
      </c>
    </row>
    <row r="10" spans="2:16" x14ac:dyDescent="0.3">
      <c r="B10" t="s">
        <v>94</v>
      </c>
      <c r="C10" t="s">
        <v>25</v>
      </c>
      <c r="D10" t="s">
        <v>20</v>
      </c>
      <c r="F10" s="6">
        <f>IF($E$5=0,0,E10/$E$5)</f>
        <v>0</v>
      </c>
      <c r="G10" s="6">
        <f>ROUNDDOWN(F10*$E$6,0)</f>
        <v>0</v>
      </c>
      <c r="I10" s="3">
        <f>IF(E10=0,0,H10/E10)</f>
        <v>0</v>
      </c>
      <c r="J10" s="3">
        <f>G10*I10</f>
        <v>0</v>
      </c>
      <c r="L10" s="6">
        <f>IF($E$5=0,0,K10/$E$5)</f>
        <v>0</v>
      </c>
      <c r="M10" s="1">
        <f>ROUNDDOWN(L10*$E$6,0)</f>
        <v>0</v>
      </c>
      <c r="O10" s="3">
        <f>IF(K10=0,0,N10/K10)</f>
        <v>0</v>
      </c>
      <c r="P10" s="3">
        <f>M10*O10</f>
        <v>0</v>
      </c>
    </row>
    <row r="11" spans="2:16" x14ac:dyDescent="0.3">
      <c r="B11" t="s">
        <v>94</v>
      </c>
      <c r="C11" t="s">
        <v>26</v>
      </c>
      <c r="D11" t="s">
        <v>20</v>
      </c>
      <c r="F11" s="6">
        <f>IF($E$5=0,0,E11/$E$5)</f>
        <v>0</v>
      </c>
      <c r="G11" s="6">
        <f>ROUNDDOWN(F11*$E$6,0)</f>
        <v>0</v>
      </c>
      <c r="I11" s="3">
        <f>IF(E11=0,0,H11/E11)</f>
        <v>0</v>
      </c>
      <c r="J11" s="3">
        <f>G11*I11</f>
        <v>0</v>
      </c>
      <c r="L11" s="6">
        <f>IF($E$5=0,0,K11/$E$5)</f>
        <v>0</v>
      </c>
      <c r="M11" s="1">
        <f>ROUNDDOWN(L11*$E$6,0)</f>
        <v>0</v>
      </c>
      <c r="O11" s="3">
        <f>IF(K11=0,0,N11/K11)</f>
        <v>0</v>
      </c>
      <c r="P11" s="3">
        <f>M11*O11</f>
        <v>0</v>
      </c>
    </row>
    <row r="12" spans="2:16" x14ac:dyDescent="0.3">
      <c r="B12" t="s">
        <v>94</v>
      </c>
      <c r="C12" t="s">
        <v>3</v>
      </c>
      <c r="D12" t="s">
        <v>20</v>
      </c>
      <c r="F12" s="6">
        <f>IF($E$5=0,0,E12/$E$5)</f>
        <v>0</v>
      </c>
      <c r="G12" s="6">
        <f>ROUNDDOWN(F12*$E$6,0)</f>
        <v>0</v>
      </c>
      <c r="I12" s="3">
        <f>IF(E12=0,0,H12/E12)</f>
        <v>0</v>
      </c>
      <c r="J12" s="3">
        <f>G12*I12</f>
        <v>0</v>
      </c>
      <c r="L12" s="6">
        <f>IF($E$5=0,0,K12/$E$5)</f>
        <v>0</v>
      </c>
      <c r="M12" s="1">
        <f>ROUNDDOWN(L12*$E$6,0)</f>
        <v>0</v>
      </c>
      <c r="O12" s="3">
        <f>IF(K12=0,0,N12/K12)</f>
        <v>0</v>
      </c>
      <c r="P12" s="3">
        <f>M12*O12</f>
        <v>0</v>
      </c>
    </row>
    <row r="13" spans="2:16" x14ac:dyDescent="0.3">
      <c r="B13" t="s">
        <v>94</v>
      </c>
      <c r="C13" t="s">
        <v>4</v>
      </c>
      <c r="D13" t="s">
        <v>20</v>
      </c>
      <c r="F13" s="6">
        <f>IF($E$5=0,0,E13/$E$5)</f>
        <v>0</v>
      </c>
      <c r="G13" s="6">
        <f>ROUNDDOWN(F13*$E$6,0)</f>
        <v>0</v>
      </c>
      <c r="I13" s="3">
        <f>IF(E13=0,0,H13/E13)</f>
        <v>0</v>
      </c>
      <c r="J13" s="3">
        <f>G13*I13</f>
        <v>0</v>
      </c>
      <c r="L13" s="6">
        <f>IF($E$5=0,0,K13/$E$5)</f>
        <v>0</v>
      </c>
      <c r="M13" s="1">
        <f>ROUNDDOWN(L13*$E$6,0)</f>
        <v>0</v>
      </c>
      <c r="O13" s="3">
        <f>IF(K13=0,0,N13/K13)</f>
        <v>0</v>
      </c>
      <c r="P13" s="3">
        <f>M13*O13</f>
        <v>0</v>
      </c>
    </row>
    <row r="14" spans="2:16" x14ac:dyDescent="0.3">
      <c r="B14" t="s">
        <v>94</v>
      </c>
      <c r="C14" t="s">
        <v>27</v>
      </c>
      <c r="D14" t="s">
        <v>20</v>
      </c>
      <c r="F14" s="6">
        <f>IF($E$5=0,0,E14/$E$5)</f>
        <v>0</v>
      </c>
      <c r="G14" s="6">
        <f>ROUNDDOWN(F14*$E$6,0)</f>
        <v>0</v>
      </c>
      <c r="I14" s="3">
        <f>IF(E14=0,0,H14/E14)</f>
        <v>0</v>
      </c>
      <c r="J14" s="3">
        <f>G14*I14</f>
        <v>0</v>
      </c>
      <c r="L14" s="6">
        <f>IF($E$5=0,0,K14/$E$5)</f>
        <v>0</v>
      </c>
      <c r="M14" s="1">
        <f>ROUNDDOWN(L14*$E$6,0)</f>
        <v>0</v>
      </c>
      <c r="O14" s="3">
        <f>IF(K14=0,0,N14/K14)</f>
        <v>0</v>
      </c>
      <c r="P14" s="3">
        <f>M14*O14</f>
        <v>0</v>
      </c>
    </row>
    <row r="15" spans="2:16" x14ac:dyDescent="0.3">
      <c r="B15" t="s">
        <v>94</v>
      </c>
      <c r="C15" t="s">
        <v>7</v>
      </c>
      <c r="D15" t="s">
        <v>20</v>
      </c>
      <c r="F15" s="6">
        <f>IF($E$5=0,0,E15/$E$5)</f>
        <v>0</v>
      </c>
      <c r="G15" s="6">
        <f>ROUNDDOWN(F15*$E$6,0)</f>
        <v>0</v>
      </c>
      <c r="I15" s="3">
        <f>IF(E15=0,0,H15/E15)</f>
        <v>0</v>
      </c>
      <c r="J15" s="3">
        <f>G15*I15</f>
        <v>0</v>
      </c>
      <c r="L15" s="6">
        <f>IF($E$5=0,0,K15/$E$5)</f>
        <v>0</v>
      </c>
      <c r="M15" s="1">
        <f>ROUNDDOWN(L15*$E$6,0)</f>
        <v>0</v>
      </c>
      <c r="O15" s="3">
        <f>IF(K15=0,0,N15/K15)</f>
        <v>0</v>
      </c>
      <c r="P15" s="3">
        <f>M15*O15</f>
        <v>0</v>
      </c>
    </row>
    <row r="16" spans="2:16" x14ac:dyDescent="0.3">
      <c r="B16" t="s">
        <v>94</v>
      </c>
      <c r="C16" t="s">
        <v>28</v>
      </c>
      <c r="D16" t="s">
        <v>20</v>
      </c>
      <c r="F16" s="6">
        <f>IF($E$5=0,0,E16/$E$5)</f>
        <v>0</v>
      </c>
      <c r="G16" s="6">
        <f>ROUNDDOWN(F16*$E$6,0)</f>
        <v>0</v>
      </c>
      <c r="I16" s="3">
        <f>IF(E16=0,0,H16/E16)</f>
        <v>0</v>
      </c>
      <c r="J16" s="3">
        <f>G16*I16</f>
        <v>0</v>
      </c>
      <c r="L16" s="6">
        <f>IF($E$5=0,0,K16/$E$5)</f>
        <v>0</v>
      </c>
      <c r="M16" s="1">
        <f>ROUNDDOWN(L16*$E$6,0)</f>
        <v>0</v>
      </c>
      <c r="O16" s="3">
        <f>IF(K16=0,0,N16/K16)</f>
        <v>0</v>
      </c>
      <c r="P16" s="3">
        <f>M16*O16</f>
        <v>0</v>
      </c>
    </row>
    <row r="17" spans="2:16" x14ac:dyDescent="0.3">
      <c r="B17" t="s">
        <v>94</v>
      </c>
      <c r="C17" t="s">
        <v>29</v>
      </c>
      <c r="D17" t="s">
        <v>20</v>
      </c>
      <c r="F17" s="6">
        <f>IF($E$5=0,0,E17/$E$5)</f>
        <v>0</v>
      </c>
      <c r="G17" s="6">
        <f>ROUNDDOWN(F17*$E$6,0)</f>
        <v>0</v>
      </c>
      <c r="I17" s="3">
        <f>IF(E17=0,0,H17/E17)</f>
        <v>0</v>
      </c>
      <c r="J17" s="3">
        <f>G17*I17</f>
        <v>0</v>
      </c>
      <c r="L17" s="6">
        <f>IF($E$5=0,0,K17/$E$5)</f>
        <v>0</v>
      </c>
      <c r="M17" s="1">
        <f>ROUNDDOWN(L17*$E$6,0)</f>
        <v>0</v>
      </c>
      <c r="O17" s="3">
        <f>IF(K17=0,0,N17/K17)</f>
        <v>0</v>
      </c>
      <c r="P17" s="3">
        <f>M17*O17</f>
        <v>0</v>
      </c>
    </row>
    <row r="18" spans="2:16" x14ac:dyDescent="0.3">
      <c r="B18" t="s">
        <v>94</v>
      </c>
      <c r="C18" t="s">
        <v>30</v>
      </c>
      <c r="D18" t="s">
        <v>20</v>
      </c>
      <c r="F18" s="6">
        <f>IF($E$5=0,0,E18/$E$5)</f>
        <v>0</v>
      </c>
      <c r="G18" s="6">
        <f>ROUNDDOWN(F18*$E$6,0)</f>
        <v>0</v>
      </c>
      <c r="I18" s="3">
        <f>IF(E18=0,0,H18/E18)</f>
        <v>0</v>
      </c>
      <c r="J18" s="3">
        <f>G18*I18</f>
        <v>0</v>
      </c>
      <c r="L18" s="6">
        <f>IF($E$5=0,0,K18/$E$5)</f>
        <v>0</v>
      </c>
      <c r="M18" s="1">
        <f>ROUNDDOWN(L18*$E$6,0)</f>
        <v>0</v>
      </c>
      <c r="O18" s="3">
        <f>IF(K18=0,0,N18/K18)</f>
        <v>0</v>
      </c>
      <c r="P18" s="3">
        <f>M18*O18</f>
        <v>0</v>
      </c>
    </row>
    <row r="19" spans="2:16" x14ac:dyDescent="0.3">
      <c r="B19" t="s">
        <v>94</v>
      </c>
      <c r="C19" t="s">
        <v>31</v>
      </c>
      <c r="D19" t="s">
        <v>20</v>
      </c>
      <c r="F19" s="6">
        <f>IF($E$5=0,0,E19/$E$5)</f>
        <v>0</v>
      </c>
      <c r="G19" s="6">
        <f>ROUNDDOWN(F19*$E$6,0)</f>
        <v>0</v>
      </c>
      <c r="I19" s="3">
        <f>IF(E19=0,0,H19/E19)</f>
        <v>0</v>
      </c>
      <c r="J19" s="3">
        <f>G19*I19</f>
        <v>0</v>
      </c>
      <c r="L19" s="6">
        <f>IF($E$5=0,0,K19/$E$5)</f>
        <v>0</v>
      </c>
      <c r="M19" s="1">
        <f>ROUNDDOWN(L19*$E$6,0)</f>
        <v>0</v>
      </c>
      <c r="O19" s="3">
        <f>IF(K19=0,0,N19/K19)</f>
        <v>0</v>
      </c>
      <c r="P19" s="3">
        <f>M19*O19</f>
        <v>0</v>
      </c>
    </row>
    <row r="20" spans="2:16" x14ac:dyDescent="0.3">
      <c r="B20" t="s">
        <v>94</v>
      </c>
      <c r="C20" t="s">
        <v>32</v>
      </c>
      <c r="D20" t="s">
        <v>20</v>
      </c>
      <c r="F20" s="6">
        <f>IF($E$5=0,0,E20/$E$5)</f>
        <v>0</v>
      </c>
      <c r="G20" s="6">
        <f>ROUNDDOWN(F20*$E$6,0)</f>
        <v>0</v>
      </c>
      <c r="I20" s="3">
        <f>IF(E20=0,0,H20/E20)</f>
        <v>0</v>
      </c>
      <c r="J20" s="3">
        <f>G20*I20</f>
        <v>0</v>
      </c>
      <c r="L20" s="6">
        <f>IF($E$5=0,0,K20/$E$5)</f>
        <v>0</v>
      </c>
      <c r="M20" s="1">
        <f>ROUNDDOWN(L20*$E$6,0)</f>
        <v>0</v>
      </c>
      <c r="O20" s="3">
        <f>IF(K20=0,0,N20/K20)</f>
        <v>0</v>
      </c>
      <c r="P20" s="3">
        <f>M20*O20</f>
        <v>0</v>
      </c>
    </row>
    <row r="21" spans="2:16" x14ac:dyDescent="0.3">
      <c r="B21" t="s">
        <v>94</v>
      </c>
      <c r="C21" t="s">
        <v>33</v>
      </c>
      <c r="D21" t="s">
        <v>20</v>
      </c>
      <c r="F21" s="6">
        <f>IF($E$5=0,0,E21/$E$5)</f>
        <v>0</v>
      </c>
      <c r="G21" s="6">
        <f>ROUNDDOWN(F21*$E$6,0)</f>
        <v>0</v>
      </c>
      <c r="I21" s="3">
        <f>IF(E21=0,0,H21/E21)</f>
        <v>0</v>
      </c>
      <c r="J21" s="3">
        <f>G21*I21</f>
        <v>0</v>
      </c>
      <c r="L21" s="6">
        <f>IF($E$5=0,0,K21/$E$5)</f>
        <v>0</v>
      </c>
      <c r="M21" s="1">
        <f>ROUNDDOWN(L21*$E$6,0)</f>
        <v>0</v>
      </c>
      <c r="O21" s="3">
        <f>IF(K21=0,0,N21/K21)</f>
        <v>0</v>
      </c>
      <c r="P21" s="3">
        <f>M21*O21</f>
        <v>0</v>
      </c>
    </row>
    <row r="22" spans="2:16" x14ac:dyDescent="0.3">
      <c r="B22" t="s">
        <v>94</v>
      </c>
      <c r="C22" t="s">
        <v>8</v>
      </c>
      <c r="D22" t="s">
        <v>20</v>
      </c>
      <c r="F22" s="6">
        <f>IF($E$5=0,0,E22/$E$5)</f>
        <v>0</v>
      </c>
      <c r="G22" s="6">
        <f>ROUNDDOWN(F22*$E$6,0)</f>
        <v>0</v>
      </c>
      <c r="I22" s="3">
        <f>IF(E22=0,0,H22/E22)</f>
        <v>0</v>
      </c>
      <c r="J22" s="3">
        <f>G22*I22</f>
        <v>0</v>
      </c>
      <c r="L22" s="6">
        <f>IF($E$5=0,0,K22/$E$5)</f>
        <v>0</v>
      </c>
      <c r="M22" s="1">
        <f>ROUNDDOWN(L22*$E$6,0)</f>
        <v>0</v>
      </c>
      <c r="O22" s="3">
        <f>IF(K22=0,0,N22/K22)</f>
        <v>0</v>
      </c>
      <c r="P22" s="3">
        <f>M22*O22</f>
        <v>0</v>
      </c>
    </row>
    <row r="23" spans="2:16" x14ac:dyDescent="0.3">
      <c r="B23" t="s">
        <v>94</v>
      </c>
      <c r="C23" t="s">
        <v>34</v>
      </c>
      <c r="D23" t="s">
        <v>20</v>
      </c>
      <c r="F23" s="6">
        <f>IF($E$5=0,0,E23/$E$5)</f>
        <v>0</v>
      </c>
      <c r="G23" s="6">
        <f>ROUNDDOWN(F23*$E$6,0)</f>
        <v>0</v>
      </c>
      <c r="I23" s="3">
        <f>IF(E23=0,0,H23/E23)</f>
        <v>0</v>
      </c>
      <c r="J23" s="3">
        <f>G23*I23</f>
        <v>0</v>
      </c>
      <c r="L23" s="6">
        <f>IF($E$5=0,0,K23/$E$5)</f>
        <v>0</v>
      </c>
      <c r="M23" s="1">
        <f>ROUNDDOWN(L23*$E$6,0)</f>
        <v>0</v>
      </c>
      <c r="O23" s="3">
        <f>IF(K23=0,0,N23/K23)</f>
        <v>0</v>
      </c>
      <c r="P23" s="3">
        <f>M23*O23</f>
        <v>0</v>
      </c>
    </row>
    <row r="24" spans="2:16" x14ac:dyDescent="0.3">
      <c r="B24" t="s">
        <v>94</v>
      </c>
      <c r="C24" t="s">
        <v>35</v>
      </c>
      <c r="D24" t="s">
        <v>20</v>
      </c>
      <c r="F24" s="6">
        <f>IF($E$5=0,0,E24/$E$5)</f>
        <v>0</v>
      </c>
      <c r="G24" s="6">
        <f>ROUNDDOWN(F24*$E$6,0)</f>
        <v>0</v>
      </c>
      <c r="I24" s="3">
        <f>IF(E24=0,0,H24/E24)</f>
        <v>0</v>
      </c>
      <c r="J24" s="3">
        <f>G24*I24</f>
        <v>0</v>
      </c>
      <c r="L24" s="6">
        <f>IF($E$5=0,0,K24/$E$5)</f>
        <v>0</v>
      </c>
      <c r="M24" s="1">
        <f>ROUNDDOWN(L24*$E$6,0)</f>
        <v>0</v>
      </c>
      <c r="O24" s="3">
        <f>IF(K24=0,0,N24/K24)</f>
        <v>0</v>
      </c>
      <c r="P24" s="3">
        <f>M24*O24</f>
        <v>0</v>
      </c>
    </row>
    <row r="25" spans="2:16" x14ac:dyDescent="0.3">
      <c r="B25" t="s">
        <v>94</v>
      </c>
      <c r="C25" t="s">
        <v>36</v>
      </c>
      <c r="D25" t="s">
        <v>20</v>
      </c>
      <c r="F25" s="6">
        <f>IF($E$5=0,0,E25/$E$5)</f>
        <v>0</v>
      </c>
      <c r="G25" s="6">
        <f>ROUNDDOWN(F25*$E$6,0)</f>
        <v>0</v>
      </c>
      <c r="I25" s="3">
        <f>IF(E25=0,0,H25/E25)</f>
        <v>0</v>
      </c>
      <c r="J25" s="3">
        <f>G25*I25</f>
        <v>0</v>
      </c>
      <c r="L25" s="6">
        <f>IF($E$5=0,0,K25/$E$5)</f>
        <v>0</v>
      </c>
      <c r="M25" s="1">
        <f>ROUNDDOWN(L25*$E$6,0)</f>
        <v>0</v>
      </c>
      <c r="O25" s="3">
        <f>IF(K25=0,0,N25/K25)</f>
        <v>0</v>
      </c>
      <c r="P25" s="3">
        <f>M25*O25</f>
        <v>0</v>
      </c>
    </row>
    <row r="26" spans="2:16" x14ac:dyDescent="0.3">
      <c r="B26" t="s">
        <v>94</v>
      </c>
      <c r="C26" t="s">
        <v>37</v>
      </c>
      <c r="D26" t="s">
        <v>20</v>
      </c>
      <c r="F26" s="6">
        <f>IF($E$5=0,0,E26/$E$5)</f>
        <v>0</v>
      </c>
      <c r="G26" s="6">
        <f>ROUNDDOWN(F26*$E$6,0)</f>
        <v>0</v>
      </c>
      <c r="I26" s="3">
        <f>IF(E26=0,0,H26/E26)</f>
        <v>0</v>
      </c>
      <c r="J26" s="3">
        <f>G26*I26</f>
        <v>0</v>
      </c>
      <c r="L26" s="6">
        <f>IF($E$5=0,0,K26/$E$5)</f>
        <v>0</v>
      </c>
      <c r="M26" s="1">
        <f>ROUNDDOWN(L26*$E$6,0)</f>
        <v>0</v>
      </c>
      <c r="O26" s="3">
        <f>IF(K26=0,0,N26/K26)</f>
        <v>0</v>
      </c>
      <c r="P26" s="3">
        <f>M26*O26</f>
        <v>0</v>
      </c>
    </row>
    <row r="27" spans="2:16" x14ac:dyDescent="0.3">
      <c r="B27" t="s">
        <v>94</v>
      </c>
      <c r="C27" t="s">
        <v>38</v>
      </c>
      <c r="D27" t="s">
        <v>20</v>
      </c>
      <c r="F27" s="6">
        <f>IF($E$5=0,0,E27/$E$5)</f>
        <v>0</v>
      </c>
      <c r="G27" s="6">
        <f>ROUNDDOWN(F27*$E$6,0)</f>
        <v>0</v>
      </c>
      <c r="I27" s="3">
        <f>IF(E27=0,0,H27/E27)</f>
        <v>0</v>
      </c>
      <c r="J27" s="3">
        <f>G27*I27</f>
        <v>0</v>
      </c>
      <c r="L27" s="6">
        <f>IF($E$5=0,0,K27/$E$5)</f>
        <v>0</v>
      </c>
      <c r="M27" s="1">
        <f>ROUNDDOWN(L27*$E$6,0)</f>
        <v>0</v>
      </c>
      <c r="O27" s="3">
        <f>IF(K27=0,0,N27/K27)</f>
        <v>0</v>
      </c>
      <c r="P27" s="3">
        <f>M27*O27</f>
        <v>0</v>
      </c>
    </row>
    <row r="28" spans="2:16" x14ac:dyDescent="0.3">
      <c r="B28" t="s">
        <v>94</v>
      </c>
      <c r="C28" t="s">
        <v>39</v>
      </c>
      <c r="D28" t="s">
        <v>20</v>
      </c>
      <c r="F28" s="6">
        <f>IF($E$5=0,0,E28/$E$5)</f>
        <v>0</v>
      </c>
      <c r="G28" s="6">
        <f>ROUNDDOWN(F28*$E$6,0)</f>
        <v>0</v>
      </c>
      <c r="I28" s="3">
        <f>IF(E28=0,0,H28/E28)</f>
        <v>0</v>
      </c>
      <c r="J28" s="3">
        <f>G28*I28</f>
        <v>0</v>
      </c>
      <c r="L28" s="6">
        <f>IF($E$5=0,0,K28/$E$5)</f>
        <v>0</v>
      </c>
      <c r="M28" s="1">
        <f>ROUNDDOWN(L28*$E$6,0)</f>
        <v>0</v>
      </c>
      <c r="O28" s="3">
        <f>IF(K28=0,0,N28/K28)</f>
        <v>0</v>
      </c>
      <c r="P28" s="3">
        <f>M28*O28</f>
        <v>0</v>
      </c>
    </row>
    <row r="29" spans="2:16" x14ac:dyDescent="0.3">
      <c r="B29" t="s">
        <v>94</v>
      </c>
      <c r="C29" t="s">
        <v>9</v>
      </c>
      <c r="D29" t="s">
        <v>20</v>
      </c>
      <c r="F29" s="6">
        <f>IF($E$5=0,0,E29/$E$5)</f>
        <v>0</v>
      </c>
      <c r="G29" s="6">
        <f>ROUNDDOWN(F29*$E$6,0)</f>
        <v>0</v>
      </c>
      <c r="I29" s="3">
        <f>IF(E29=0,0,H29/E29)</f>
        <v>0</v>
      </c>
      <c r="J29" s="3">
        <f>G29*I29</f>
        <v>0</v>
      </c>
      <c r="L29" s="6">
        <f>IF($E$5=0,0,K29/$E$5)</f>
        <v>0</v>
      </c>
      <c r="M29" s="1">
        <f>ROUNDDOWN(L29*$E$6,0)</f>
        <v>0</v>
      </c>
      <c r="O29" s="3">
        <f>IF(K29=0,0,N29/K29)</f>
        <v>0</v>
      </c>
      <c r="P29" s="3">
        <f>M29*O29</f>
        <v>0</v>
      </c>
    </row>
    <row r="30" spans="2:16" x14ac:dyDescent="0.3">
      <c r="B30" t="s">
        <v>94</v>
      </c>
      <c r="C30" t="s">
        <v>10</v>
      </c>
      <c r="D30" t="s">
        <v>20</v>
      </c>
      <c r="F30" s="6">
        <f>IF($E$5=0,0,E30/$E$5)</f>
        <v>0</v>
      </c>
      <c r="G30" s="6">
        <f>ROUNDDOWN(F30*$E$6,0)</f>
        <v>0</v>
      </c>
      <c r="I30" s="3">
        <f>IF(E30=0,0,H30/E30)</f>
        <v>0</v>
      </c>
      <c r="J30" s="3">
        <f>G30*I30</f>
        <v>0</v>
      </c>
      <c r="L30" s="6">
        <f>IF($E$5=0,0,K30/$E$5)</f>
        <v>0</v>
      </c>
      <c r="M30" s="1">
        <f>ROUNDDOWN(L30*$E$6,0)</f>
        <v>0</v>
      </c>
      <c r="O30" s="3">
        <f>IF(K30=0,0,N30/K30)</f>
        <v>0</v>
      </c>
      <c r="P30" s="3">
        <f>M30*O30</f>
        <v>0</v>
      </c>
    </row>
    <row r="31" spans="2:16" x14ac:dyDescent="0.3">
      <c r="B31" t="s">
        <v>94</v>
      </c>
      <c r="C31" t="s">
        <v>11</v>
      </c>
      <c r="D31" t="s">
        <v>20</v>
      </c>
      <c r="F31" s="6">
        <f>IF($E$5=0,0,E31/$E$5)</f>
        <v>0</v>
      </c>
      <c r="G31" s="6">
        <f>ROUNDDOWN(F31*$E$6,0)</f>
        <v>0</v>
      </c>
      <c r="I31" s="3">
        <f>IF(E31=0,0,H31/E31)</f>
        <v>0</v>
      </c>
      <c r="J31" s="3">
        <f>G31*I31</f>
        <v>0</v>
      </c>
      <c r="L31" s="6">
        <f>IF($E$5=0,0,K31/$E$5)</f>
        <v>0</v>
      </c>
      <c r="M31" s="1">
        <f>ROUNDDOWN(L31*$E$6,0)</f>
        <v>0</v>
      </c>
      <c r="O31" s="3">
        <f>IF(K31=0,0,N31/K31)</f>
        <v>0</v>
      </c>
      <c r="P31" s="3">
        <f>M31*O31</f>
        <v>0</v>
      </c>
    </row>
    <row r="32" spans="2:16" x14ac:dyDescent="0.3">
      <c r="B32" t="s">
        <v>94</v>
      </c>
      <c r="C32" t="s">
        <v>40</v>
      </c>
      <c r="D32" t="s">
        <v>20</v>
      </c>
      <c r="F32" s="6">
        <f>IF($E$5=0,0,E32/$E$5)</f>
        <v>0</v>
      </c>
      <c r="G32" s="6">
        <f>ROUNDDOWN(F32*$E$6,0)</f>
        <v>0</v>
      </c>
      <c r="I32" s="3">
        <f>IF(E32=0,0,H32/E32)</f>
        <v>0</v>
      </c>
      <c r="J32" s="3">
        <f>G32*I32</f>
        <v>0</v>
      </c>
      <c r="L32" s="6">
        <f>IF($E$5=0,0,K32/$E$5)</f>
        <v>0</v>
      </c>
      <c r="M32" s="1">
        <f>ROUNDDOWN(L32*$E$6,0)</f>
        <v>0</v>
      </c>
      <c r="O32" s="3">
        <f>IF(K32=0,0,N32/K32)</f>
        <v>0</v>
      </c>
      <c r="P32" s="3">
        <f>M32*O32</f>
        <v>0</v>
      </c>
    </row>
    <row r="33" spans="2:16" x14ac:dyDescent="0.3">
      <c r="B33" t="s">
        <v>94</v>
      </c>
      <c r="C33" t="s">
        <v>41</v>
      </c>
      <c r="D33" t="s">
        <v>20</v>
      </c>
      <c r="F33" s="6">
        <f>IF($E$5=0,0,E33/$E$5)</f>
        <v>0</v>
      </c>
      <c r="G33" s="6">
        <f>ROUNDDOWN(F33*$E$6,0)</f>
        <v>0</v>
      </c>
      <c r="I33" s="3">
        <f>IF(E33=0,0,H33/E33)</f>
        <v>0</v>
      </c>
      <c r="J33" s="3">
        <f>G33*I33</f>
        <v>0</v>
      </c>
      <c r="L33" s="6">
        <f>IF($E$5=0,0,K33/$E$5)</f>
        <v>0</v>
      </c>
      <c r="M33" s="1">
        <f>ROUNDDOWN(L33*$E$6,0)</f>
        <v>0</v>
      </c>
      <c r="O33" s="3">
        <f>IF(K33=0,0,N33/K33)</f>
        <v>0</v>
      </c>
      <c r="P33" s="3">
        <f>M33*O33</f>
        <v>0</v>
      </c>
    </row>
    <row r="34" spans="2:16" x14ac:dyDescent="0.3">
      <c r="B34" t="s">
        <v>94</v>
      </c>
      <c r="C34" t="s">
        <v>12</v>
      </c>
      <c r="D34" t="s">
        <v>20</v>
      </c>
      <c r="F34" s="6">
        <f>IF($E$5=0,0,E34/$E$5)</f>
        <v>0</v>
      </c>
      <c r="G34" s="6">
        <f>ROUNDDOWN(F34*$E$6,0)</f>
        <v>0</v>
      </c>
      <c r="I34" s="3">
        <f>IF(E34=0,0,H34/E34)</f>
        <v>0</v>
      </c>
      <c r="J34" s="3">
        <f>G34*I34</f>
        <v>0</v>
      </c>
      <c r="L34" s="6">
        <f>IF($E$5=0,0,K34/$E$5)</f>
        <v>0</v>
      </c>
      <c r="M34" s="1">
        <f>ROUNDDOWN(L34*$E$6,0)</f>
        <v>0</v>
      </c>
      <c r="O34" s="3">
        <f>IF(K34=0,0,N34/K34)</f>
        <v>0</v>
      </c>
      <c r="P34" s="3">
        <f>M34*O34</f>
        <v>0</v>
      </c>
    </row>
    <row r="35" spans="2:16" x14ac:dyDescent="0.3">
      <c r="B35" t="s">
        <v>94</v>
      </c>
      <c r="C35" t="s">
        <v>42</v>
      </c>
      <c r="D35" t="s">
        <v>20</v>
      </c>
      <c r="F35" s="6">
        <f>IF($E$5=0,0,E35/$E$5)</f>
        <v>0</v>
      </c>
      <c r="G35" s="6">
        <f>ROUNDDOWN(F35*$E$6,0)</f>
        <v>0</v>
      </c>
      <c r="I35" s="3">
        <f>IF(E35=0,0,H35/E35)</f>
        <v>0</v>
      </c>
      <c r="J35" s="3">
        <f>G35*I35</f>
        <v>0</v>
      </c>
      <c r="L35" s="6">
        <f>IF($E$5=0,0,K35/$E$5)</f>
        <v>0</v>
      </c>
      <c r="M35" s="1">
        <f>ROUNDDOWN(L35*$E$6,0)</f>
        <v>0</v>
      </c>
      <c r="O35" s="3">
        <f>IF(K35=0,0,N35/K35)</f>
        <v>0</v>
      </c>
      <c r="P35" s="3">
        <f>M35*O35</f>
        <v>0</v>
      </c>
    </row>
    <row r="36" spans="2:16" x14ac:dyDescent="0.3">
      <c r="B36" t="s">
        <v>94</v>
      </c>
      <c r="C36" t="s">
        <v>13</v>
      </c>
      <c r="D36" t="s">
        <v>20</v>
      </c>
      <c r="F36" s="6">
        <f>IF($E$5=0,0,E36/$E$5)</f>
        <v>0</v>
      </c>
      <c r="G36" s="6">
        <f>ROUNDDOWN(F36*$E$6,0)</f>
        <v>0</v>
      </c>
      <c r="I36" s="3">
        <f>IF(E36=0,0,H36/E36)</f>
        <v>0</v>
      </c>
      <c r="J36" s="3">
        <f>G36*I36</f>
        <v>0</v>
      </c>
      <c r="L36" s="6">
        <f>IF($E$5=0,0,K36/$E$5)</f>
        <v>0</v>
      </c>
      <c r="M36" s="1">
        <f>ROUNDDOWN(L36*$E$6,0)</f>
        <v>0</v>
      </c>
      <c r="O36" s="3">
        <f>IF(K36=0,0,N36/K36)</f>
        <v>0</v>
      </c>
      <c r="P36" s="3">
        <f>M36*O36</f>
        <v>0</v>
      </c>
    </row>
    <row r="38" spans="2:16" x14ac:dyDescent="0.3">
      <c r="E38" s="1">
        <f>SUM(E7:E36)</f>
        <v>0</v>
      </c>
      <c r="G38" s="6">
        <f>SUM(G7:G36)</f>
        <v>0</v>
      </c>
      <c r="H38" s="3">
        <f>SUM(H7:H36)</f>
        <v>0</v>
      </c>
      <c r="I38" s="3">
        <f>IF(E38=0,0,H38/E38)</f>
        <v>0</v>
      </c>
      <c r="J38" s="3">
        <f>G38*I38</f>
        <v>0</v>
      </c>
      <c r="K38" s="1">
        <f>SUM(K7:K36)</f>
        <v>0</v>
      </c>
      <c r="M38" s="1">
        <f>SUM(M7:M36)</f>
        <v>0</v>
      </c>
      <c r="N38" s="3">
        <f>SUM(N7:N36)</f>
        <v>0</v>
      </c>
      <c r="O38" s="3">
        <f>IF(K38=0,0,N38/K38)</f>
        <v>0</v>
      </c>
      <c r="P38" s="3">
        <f>M38*O38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EDD58-32BF-4FCF-9F8F-6FA1D2F192C0}">
  <dimension ref="B4:P38"/>
  <sheetViews>
    <sheetView workbookViewId="0"/>
  </sheetViews>
  <sheetFormatPr defaultRowHeight="14.4" x14ac:dyDescent="0.3"/>
  <cols>
    <col min="2" max="2" width="40.77734375" customWidth="1"/>
    <col min="3" max="3" width="35.21875" customWidth="1"/>
    <col min="4" max="4" width="18.5546875" customWidth="1"/>
    <col min="5" max="5" width="18.5546875" style="1" customWidth="1"/>
    <col min="6" max="7" width="18.5546875" style="6" customWidth="1"/>
    <col min="8" max="10" width="18.5546875" style="3" customWidth="1"/>
    <col min="11" max="11" width="18.5546875" style="1" customWidth="1"/>
    <col min="12" max="12" width="18.5546875" style="6" customWidth="1"/>
    <col min="13" max="13" width="18.5546875" style="1" customWidth="1"/>
    <col min="14" max="16" width="18.5546875" style="3" customWidth="1"/>
  </cols>
  <sheetData>
    <row r="4" spans="2:16" ht="57.6" x14ac:dyDescent="0.3">
      <c r="B4" s="7" t="s">
        <v>0</v>
      </c>
      <c r="C4" s="7" t="s">
        <v>1</v>
      </c>
      <c r="D4" s="7" t="s">
        <v>5</v>
      </c>
      <c r="E4" s="9" t="s">
        <v>2</v>
      </c>
      <c r="F4" s="11" t="s">
        <v>15</v>
      </c>
      <c r="G4" s="11" t="s">
        <v>19</v>
      </c>
      <c r="H4" s="13" t="s">
        <v>22</v>
      </c>
      <c r="I4" s="13" t="s">
        <v>43</v>
      </c>
      <c r="J4" s="13" t="s">
        <v>44</v>
      </c>
      <c r="K4" s="9" t="s">
        <v>46</v>
      </c>
      <c r="L4" s="11" t="s">
        <v>48</v>
      </c>
      <c r="M4" s="9" t="s">
        <v>49</v>
      </c>
      <c r="N4" s="13" t="s">
        <v>47</v>
      </c>
      <c r="O4" s="13" t="s">
        <v>51</v>
      </c>
      <c r="P4" s="13" t="s">
        <v>50</v>
      </c>
    </row>
    <row r="5" spans="2:16" x14ac:dyDescent="0.3">
      <c r="B5" s="8" t="s">
        <v>85</v>
      </c>
      <c r="C5" s="8" t="s">
        <v>93</v>
      </c>
      <c r="D5" s="8" t="s">
        <v>6</v>
      </c>
      <c r="E5" s="10"/>
      <c r="F5" s="12" t="s">
        <v>14</v>
      </c>
      <c r="G5" s="12" t="s">
        <v>18</v>
      </c>
      <c r="H5" s="14"/>
      <c r="I5" s="14"/>
      <c r="J5" s="14" t="s">
        <v>45</v>
      </c>
      <c r="K5" s="10"/>
      <c r="L5" s="12"/>
      <c r="M5" s="10"/>
      <c r="N5" s="14"/>
      <c r="O5" s="14"/>
      <c r="P5" s="14" t="s">
        <v>52</v>
      </c>
    </row>
    <row r="6" spans="2:16" x14ac:dyDescent="0.3">
      <c r="B6" s="8" t="s">
        <v>17</v>
      </c>
      <c r="C6" s="8" t="s">
        <v>54</v>
      </c>
      <c r="D6" s="8" t="s">
        <v>6</v>
      </c>
      <c r="E6" s="10"/>
      <c r="F6" s="12"/>
      <c r="G6" s="12"/>
      <c r="H6" s="14"/>
      <c r="I6" s="14"/>
      <c r="J6" s="14"/>
      <c r="K6" s="10"/>
      <c r="L6" s="12"/>
      <c r="M6" s="10"/>
      <c r="N6" s="14"/>
      <c r="O6" s="14"/>
      <c r="P6" s="14"/>
    </row>
    <row r="7" spans="2:16" x14ac:dyDescent="0.3">
      <c r="B7" t="s">
        <v>94</v>
      </c>
      <c r="C7" t="s">
        <v>23</v>
      </c>
      <c r="D7" t="s">
        <v>20</v>
      </c>
      <c r="F7" s="6">
        <f>IF($E$5=0,0,E7/$E$5)</f>
        <v>0</v>
      </c>
      <c r="G7" s="6">
        <f>ROUNDDOWN(F7*$E$6,0)</f>
        <v>0</v>
      </c>
      <c r="I7" s="3">
        <f>IF(E7=0,0,H7/E7)</f>
        <v>0</v>
      </c>
      <c r="J7" s="3">
        <f>G7*I7</f>
        <v>0</v>
      </c>
      <c r="L7" s="6">
        <f>IF($E$5=0,0,K7/$E$5)</f>
        <v>0</v>
      </c>
      <c r="M7" s="1">
        <f>ROUNDDOWN(L7*$E$6,0)</f>
        <v>0</v>
      </c>
      <c r="O7" s="3">
        <f>IF(K7=0,0,N7/K7)</f>
        <v>0</v>
      </c>
      <c r="P7" s="3">
        <f>M7*O7</f>
        <v>0</v>
      </c>
    </row>
    <row r="8" spans="2:16" x14ac:dyDescent="0.3">
      <c r="B8" t="s">
        <v>94</v>
      </c>
      <c r="C8" t="s">
        <v>21</v>
      </c>
      <c r="D8" t="s">
        <v>20</v>
      </c>
      <c r="F8" s="6">
        <f>IF($E$5=0,0,E8/$E$5)</f>
        <v>0</v>
      </c>
      <c r="G8" s="6">
        <f>ROUNDDOWN(F8*$E$6,0)</f>
        <v>0</v>
      </c>
      <c r="I8" s="3">
        <f>IF(E8=0,0,H8/E8)</f>
        <v>0</v>
      </c>
      <c r="J8" s="3">
        <f>G8*I8</f>
        <v>0</v>
      </c>
      <c r="L8" s="6">
        <f>IF($E$5=0,0,K8/$E$5)</f>
        <v>0</v>
      </c>
      <c r="M8" s="1">
        <f>ROUNDDOWN(L8*$E$6,0)</f>
        <v>0</v>
      </c>
      <c r="O8" s="3">
        <f>IF(K8=0,0,N8/K8)</f>
        <v>0</v>
      </c>
      <c r="P8" s="3">
        <f>M8*O8</f>
        <v>0</v>
      </c>
    </row>
    <row r="9" spans="2:16" x14ac:dyDescent="0.3">
      <c r="B9" t="s">
        <v>94</v>
      </c>
      <c r="C9" t="s">
        <v>24</v>
      </c>
      <c r="D9" t="s">
        <v>20</v>
      </c>
      <c r="F9" s="6">
        <f>IF($E$5=0,0,E9/$E$5)</f>
        <v>0</v>
      </c>
      <c r="G9" s="6">
        <f>ROUNDDOWN(F9*$E$6,0)</f>
        <v>0</v>
      </c>
      <c r="I9" s="3">
        <f>IF(E9=0,0,H9/E9)</f>
        <v>0</v>
      </c>
      <c r="J9" s="3">
        <f>G9*I9</f>
        <v>0</v>
      </c>
      <c r="L9" s="6">
        <f>IF($E$5=0,0,K9/$E$5)</f>
        <v>0</v>
      </c>
      <c r="M9" s="1">
        <f>ROUNDDOWN(L9*$E$6,0)</f>
        <v>0</v>
      </c>
      <c r="O9" s="3">
        <f>IF(K9=0,0,N9/K9)</f>
        <v>0</v>
      </c>
      <c r="P9" s="3">
        <f>M9*O9</f>
        <v>0</v>
      </c>
    </row>
    <row r="10" spans="2:16" x14ac:dyDescent="0.3">
      <c r="B10" t="s">
        <v>94</v>
      </c>
      <c r="C10" t="s">
        <v>25</v>
      </c>
      <c r="D10" t="s">
        <v>20</v>
      </c>
      <c r="F10" s="6">
        <f>IF($E$5=0,0,E10/$E$5)</f>
        <v>0</v>
      </c>
      <c r="G10" s="6">
        <f>ROUNDDOWN(F10*$E$6,0)</f>
        <v>0</v>
      </c>
      <c r="I10" s="3">
        <f>IF(E10=0,0,H10/E10)</f>
        <v>0</v>
      </c>
      <c r="J10" s="3">
        <f>G10*I10</f>
        <v>0</v>
      </c>
      <c r="L10" s="6">
        <f>IF($E$5=0,0,K10/$E$5)</f>
        <v>0</v>
      </c>
      <c r="M10" s="1">
        <f>ROUNDDOWN(L10*$E$6,0)</f>
        <v>0</v>
      </c>
      <c r="O10" s="3">
        <f>IF(K10=0,0,N10/K10)</f>
        <v>0</v>
      </c>
      <c r="P10" s="3">
        <f>M10*O10</f>
        <v>0</v>
      </c>
    </row>
    <row r="11" spans="2:16" x14ac:dyDescent="0.3">
      <c r="B11" t="s">
        <v>94</v>
      </c>
      <c r="C11" t="s">
        <v>26</v>
      </c>
      <c r="D11" t="s">
        <v>20</v>
      </c>
      <c r="F11" s="6">
        <f>IF($E$5=0,0,E11/$E$5)</f>
        <v>0</v>
      </c>
      <c r="G11" s="6">
        <f>ROUNDDOWN(F11*$E$6,0)</f>
        <v>0</v>
      </c>
      <c r="I11" s="3">
        <f>IF(E11=0,0,H11/E11)</f>
        <v>0</v>
      </c>
      <c r="J11" s="3">
        <f>G11*I11</f>
        <v>0</v>
      </c>
      <c r="L11" s="6">
        <f>IF($E$5=0,0,K11/$E$5)</f>
        <v>0</v>
      </c>
      <c r="M11" s="1">
        <f>ROUNDDOWN(L11*$E$6,0)</f>
        <v>0</v>
      </c>
      <c r="O11" s="3">
        <f>IF(K11=0,0,N11/K11)</f>
        <v>0</v>
      </c>
      <c r="P11" s="3">
        <f>M11*O11</f>
        <v>0</v>
      </c>
    </row>
    <row r="12" spans="2:16" x14ac:dyDescent="0.3">
      <c r="B12" t="s">
        <v>94</v>
      </c>
      <c r="C12" t="s">
        <v>3</v>
      </c>
      <c r="D12" t="s">
        <v>20</v>
      </c>
      <c r="F12" s="6">
        <f>IF($E$5=0,0,E12/$E$5)</f>
        <v>0</v>
      </c>
      <c r="G12" s="6">
        <f>ROUNDDOWN(F12*$E$6,0)</f>
        <v>0</v>
      </c>
      <c r="I12" s="3">
        <f>IF(E12=0,0,H12/E12)</f>
        <v>0</v>
      </c>
      <c r="J12" s="3">
        <f>G12*I12</f>
        <v>0</v>
      </c>
      <c r="L12" s="6">
        <f>IF($E$5=0,0,K12/$E$5)</f>
        <v>0</v>
      </c>
      <c r="M12" s="1">
        <f>ROUNDDOWN(L12*$E$6,0)</f>
        <v>0</v>
      </c>
      <c r="O12" s="3">
        <f>IF(K12=0,0,N12/K12)</f>
        <v>0</v>
      </c>
      <c r="P12" s="3">
        <f>M12*O12</f>
        <v>0</v>
      </c>
    </row>
    <row r="13" spans="2:16" x14ac:dyDescent="0.3">
      <c r="B13" t="s">
        <v>94</v>
      </c>
      <c r="C13" t="s">
        <v>4</v>
      </c>
      <c r="D13" t="s">
        <v>20</v>
      </c>
      <c r="F13" s="6">
        <f>IF($E$5=0,0,E13/$E$5)</f>
        <v>0</v>
      </c>
      <c r="G13" s="6">
        <f>ROUNDDOWN(F13*$E$6,0)</f>
        <v>0</v>
      </c>
      <c r="I13" s="3">
        <f>IF(E13=0,0,H13/E13)</f>
        <v>0</v>
      </c>
      <c r="J13" s="3">
        <f>G13*I13</f>
        <v>0</v>
      </c>
      <c r="L13" s="6">
        <f>IF($E$5=0,0,K13/$E$5)</f>
        <v>0</v>
      </c>
      <c r="M13" s="1">
        <f>ROUNDDOWN(L13*$E$6,0)</f>
        <v>0</v>
      </c>
      <c r="O13" s="3">
        <f>IF(K13=0,0,N13/K13)</f>
        <v>0</v>
      </c>
      <c r="P13" s="3">
        <f>M13*O13</f>
        <v>0</v>
      </c>
    </row>
    <row r="14" spans="2:16" x14ac:dyDescent="0.3">
      <c r="B14" t="s">
        <v>94</v>
      </c>
      <c r="C14" t="s">
        <v>27</v>
      </c>
      <c r="D14" t="s">
        <v>20</v>
      </c>
      <c r="F14" s="6">
        <f>IF($E$5=0,0,E14/$E$5)</f>
        <v>0</v>
      </c>
      <c r="G14" s="6">
        <f>ROUNDDOWN(F14*$E$6,0)</f>
        <v>0</v>
      </c>
      <c r="I14" s="3">
        <f>IF(E14=0,0,H14/E14)</f>
        <v>0</v>
      </c>
      <c r="J14" s="3">
        <f>G14*I14</f>
        <v>0</v>
      </c>
      <c r="L14" s="6">
        <f>IF($E$5=0,0,K14/$E$5)</f>
        <v>0</v>
      </c>
      <c r="M14" s="1">
        <f>ROUNDDOWN(L14*$E$6,0)</f>
        <v>0</v>
      </c>
      <c r="O14" s="3">
        <f>IF(K14=0,0,N14/K14)</f>
        <v>0</v>
      </c>
      <c r="P14" s="3">
        <f>M14*O14</f>
        <v>0</v>
      </c>
    </row>
    <row r="15" spans="2:16" x14ac:dyDescent="0.3">
      <c r="B15" t="s">
        <v>94</v>
      </c>
      <c r="C15" t="s">
        <v>7</v>
      </c>
      <c r="D15" t="s">
        <v>20</v>
      </c>
      <c r="F15" s="6">
        <f>IF($E$5=0,0,E15/$E$5)</f>
        <v>0</v>
      </c>
      <c r="G15" s="6">
        <f>ROUNDDOWN(F15*$E$6,0)</f>
        <v>0</v>
      </c>
      <c r="I15" s="3">
        <f>IF(E15=0,0,H15/E15)</f>
        <v>0</v>
      </c>
      <c r="J15" s="3">
        <f>G15*I15</f>
        <v>0</v>
      </c>
      <c r="L15" s="6">
        <f>IF($E$5=0,0,K15/$E$5)</f>
        <v>0</v>
      </c>
      <c r="M15" s="1">
        <f>ROUNDDOWN(L15*$E$6,0)</f>
        <v>0</v>
      </c>
      <c r="O15" s="3">
        <f>IF(K15=0,0,N15/K15)</f>
        <v>0</v>
      </c>
      <c r="P15" s="3">
        <f>M15*O15</f>
        <v>0</v>
      </c>
    </row>
    <row r="16" spans="2:16" x14ac:dyDescent="0.3">
      <c r="B16" t="s">
        <v>94</v>
      </c>
      <c r="C16" t="s">
        <v>28</v>
      </c>
      <c r="D16" t="s">
        <v>20</v>
      </c>
      <c r="F16" s="6">
        <f>IF($E$5=0,0,E16/$E$5)</f>
        <v>0</v>
      </c>
      <c r="G16" s="6">
        <f>ROUNDDOWN(F16*$E$6,0)</f>
        <v>0</v>
      </c>
      <c r="I16" s="3">
        <f>IF(E16=0,0,H16/E16)</f>
        <v>0</v>
      </c>
      <c r="J16" s="3">
        <f>G16*I16</f>
        <v>0</v>
      </c>
      <c r="L16" s="6">
        <f>IF($E$5=0,0,K16/$E$5)</f>
        <v>0</v>
      </c>
      <c r="M16" s="1">
        <f>ROUNDDOWN(L16*$E$6,0)</f>
        <v>0</v>
      </c>
      <c r="O16" s="3">
        <f>IF(K16=0,0,N16/K16)</f>
        <v>0</v>
      </c>
      <c r="P16" s="3">
        <f>M16*O16</f>
        <v>0</v>
      </c>
    </row>
    <row r="17" spans="2:16" x14ac:dyDescent="0.3">
      <c r="B17" t="s">
        <v>94</v>
      </c>
      <c r="C17" t="s">
        <v>29</v>
      </c>
      <c r="D17" t="s">
        <v>20</v>
      </c>
      <c r="F17" s="6">
        <f>IF($E$5=0,0,E17/$E$5)</f>
        <v>0</v>
      </c>
      <c r="G17" s="6">
        <f>ROUNDDOWN(F17*$E$6,0)</f>
        <v>0</v>
      </c>
      <c r="I17" s="3">
        <f>IF(E17=0,0,H17/E17)</f>
        <v>0</v>
      </c>
      <c r="J17" s="3">
        <f>G17*I17</f>
        <v>0</v>
      </c>
      <c r="L17" s="6">
        <f>IF($E$5=0,0,K17/$E$5)</f>
        <v>0</v>
      </c>
      <c r="M17" s="1">
        <f>ROUNDDOWN(L17*$E$6,0)</f>
        <v>0</v>
      </c>
      <c r="O17" s="3">
        <f>IF(K17=0,0,N17/K17)</f>
        <v>0</v>
      </c>
      <c r="P17" s="3">
        <f>M17*O17</f>
        <v>0</v>
      </c>
    </row>
    <row r="18" spans="2:16" x14ac:dyDescent="0.3">
      <c r="B18" t="s">
        <v>94</v>
      </c>
      <c r="C18" t="s">
        <v>30</v>
      </c>
      <c r="D18" t="s">
        <v>20</v>
      </c>
      <c r="F18" s="6">
        <f>IF($E$5=0,0,E18/$E$5)</f>
        <v>0</v>
      </c>
      <c r="G18" s="6">
        <f>ROUNDDOWN(F18*$E$6,0)</f>
        <v>0</v>
      </c>
      <c r="I18" s="3">
        <f>IF(E18=0,0,H18/E18)</f>
        <v>0</v>
      </c>
      <c r="J18" s="3">
        <f>G18*I18</f>
        <v>0</v>
      </c>
      <c r="L18" s="6">
        <f>IF($E$5=0,0,K18/$E$5)</f>
        <v>0</v>
      </c>
      <c r="M18" s="1">
        <f>ROUNDDOWN(L18*$E$6,0)</f>
        <v>0</v>
      </c>
      <c r="O18" s="3">
        <f>IF(K18=0,0,N18/K18)</f>
        <v>0</v>
      </c>
      <c r="P18" s="3">
        <f>M18*O18</f>
        <v>0</v>
      </c>
    </row>
    <row r="19" spans="2:16" x14ac:dyDescent="0.3">
      <c r="B19" t="s">
        <v>94</v>
      </c>
      <c r="C19" t="s">
        <v>31</v>
      </c>
      <c r="D19" t="s">
        <v>20</v>
      </c>
      <c r="F19" s="6">
        <f>IF($E$5=0,0,E19/$E$5)</f>
        <v>0</v>
      </c>
      <c r="G19" s="6">
        <f>ROUNDDOWN(F19*$E$6,0)</f>
        <v>0</v>
      </c>
      <c r="I19" s="3">
        <f>IF(E19=0,0,H19/E19)</f>
        <v>0</v>
      </c>
      <c r="J19" s="3">
        <f>G19*I19</f>
        <v>0</v>
      </c>
      <c r="L19" s="6">
        <f>IF($E$5=0,0,K19/$E$5)</f>
        <v>0</v>
      </c>
      <c r="M19" s="1">
        <f>ROUNDDOWN(L19*$E$6,0)</f>
        <v>0</v>
      </c>
      <c r="O19" s="3">
        <f>IF(K19=0,0,N19/K19)</f>
        <v>0</v>
      </c>
      <c r="P19" s="3">
        <f>M19*O19</f>
        <v>0</v>
      </c>
    </row>
    <row r="20" spans="2:16" x14ac:dyDescent="0.3">
      <c r="B20" t="s">
        <v>94</v>
      </c>
      <c r="C20" t="s">
        <v>32</v>
      </c>
      <c r="D20" t="s">
        <v>20</v>
      </c>
      <c r="F20" s="6">
        <f>IF($E$5=0,0,E20/$E$5)</f>
        <v>0</v>
      </c>
      <c r="G20" s="6">
        <f>ROUNDDOWN(F20*$E$6,0)</f>
        <v>0</v>
      </c>
      <c r="I20" s="3">
        <f>IF(E20=0,0,H20/E20)</f>
        <v>0</v>
      </c>
      <c r="J20" s="3">
        <f>G20*I20</f>
        <v>0</v>
      </c>
      <c r="L20" s="6">
        <f>IF($E$5=0,0,K20/$E$5)</f>
        <v>0</v>
      </c>
      <c r="M20" s="1">
        <f>ROUNDDOWN(L20*$E$6,0)</f>
        <v>0</v>
      </c>
      <c r="O20" s="3">
        <f>IF(K20=0,0,N20/K20)</f>
        <v>0</v>
      </c>
      <c r="P20" s="3">
        <f>M20*O20</f>
        <v>0</v>
      </c>
    </row>
    <row r="21" spans="2:16" x14ac:dyDescent="0.3">
      <c r="B21" t="s">
        <v>94</v>
      </c>
      <c r="C21" t="s">
        <v>33</v>
      </c>
      <c r="D21" t="s">
        <v>20</v>
      </c>
      <c r="F21" s="6">
        <f>IF($E$5=0,0,E21/$E$5)</f>
        <v>0</v>
      </c>
      <c r="G21" s="6">
        <f>ROUNDDOWN(F21*$E$6,0)</f>
        <v>0</v>
      </c>
      <c r="I21" s="3">
        <f>IF(E21=0,0,H21/E21)</f>
        <v>0</v>
      </c>
      <c r="J21" s="3">
        <f>G21*I21</f>
        <v>0</v>
      </c>
      <c r="L21" s="6">
        <f>IF($E$5=0,0,K21/$E$5)</f>
        <v>0</v>
      </c>
      <c r="M21" s="1">
        <f>ROUNDDOWN(L21*$E$6,0)</f>
        <v>0</v>
      </c>
      <c r="O21" s="3">
        <f>IF(K21=0,0,N21/K21)</f>
        <v>0</v>
      </c>
      <c r="P21" s="3">
        <f>M21*O21</f>
        <v>0</v>
      </c>
    </row>
    <row r="22" spans="2:16" x14ac:dyDescent="0.3">
      <c r="B22" t="s">
        <v>94</v>
      </c>
      <c r="C22" t="s">
        <v>8</v>
      </c>
      <c r="D22" t="s">
        <v>20</v>
      </c>
      <c r="F22" s="6">
        <f>IF($E$5=0,0,E22/$E$5)</f>
        <v>0</v>
      </c>
      <c r="G22" s="6">
        <f>ROUNDDOWN(F22*$E$6,0)</f>
        <v>0</v>
      </c>
      <c r="I22" s="3">
        <f>IF(E22=0,0,H22/E22)</f>
        <v>0</v>
      </c>
      <c r="J22" s="3">
        <f>G22*I22</f>
        <v>0</v>
      </c>
      <c r="L22" s="6">
        <f>IF($E$5=0,0,K22/$E$5)</f>
        <v>0</v>
      </c>
      <c r="M22" s="1">
        <f>ROUNDDOWN(L22*$E$6,0)</f>
        <v>0</v>
      </c>
      <c r="O22" s="3">
        <f>IF(K22=0,0,N22/K22)</f>
        <v>0</v>
      </c>
      <c r="P22" s="3">
        <f>M22*O22</f>
        <v>0</v>
      </c>
    </row>
    <row r="23" spans="2:16" x14ac:dyDescent="0.3">
      <c r="B23" t="s">
        <v>94</v>
      </c>
      <c r="C23" t="s">
        <v>34</v>
      </c>
      <c r="D23" t="s">
        <v>20</v>
      </c>
      <c r="F23" s="6">
        <f>IF($E$5=0,0,E23/$E$5)</f>
        <v>0</v>
      </c>
      <c r="G23" s="6">
        <f>ROUNDDOWN(F23*$E$6,0)</f>
        <v>0</v>
      </c>
      <c r="I23" s="3">
        <f>IF(E23=0,0,H23/E23)</f>
        <v>0</v>
      </c>
      <c r="J23" s="3">
        <f>G23*I23</f>
        <v>0</v>
      </c>
      <c r="L23" s="6">
        <f>IF($E$5=0,0,K23/$E$5)</f>
        <v>0</v>
      </c>
      <c r="M23" s="1">
        <f>ROUNDDOWN(L23*$E$6,0)</f>
        <v>0</v>
      </c>
      <c r="O23" s="3">
        <f>IF(K23=0,0,N23/K23)</f>
        <v>0</v>
      </c>
      <c r="P23" s="3">
        <f>M23*O23</f>
        <v>0</v>
      </c>
    </row>
    <row r="24" spans="2:16" x14ac:dyDescent="0.3">
      <c r="B24" t="s">
        <v>94</v>
      </c>
      <c r="C24" t="s">
        <v>35</v>
      </c>
      <c r="D24" t="s">
        <v>20</v>
      </c>
      <c r="F24" s="6">
        <f>IF($E$5=0,0,E24/$E$5)</f>
        <v>0</v>
      </c>
      <c r="G24" s="6">
        <f>ROUNDDOWN(F24*$E$6,0)</f>
        <v>0</v>
      </c>
      <c r="I24" s="3">
        <f>IF(E24=0,0,H24/E24)</f>
        <v>0</v>
      </c>
      <c r="J24" s="3">
        <f>G24*I24</f>
        <v>0</v>
      </c>
      <c r="L24" s="6">
        <f>IF($E$5=0,0,K24/$E$5)</f>
        <v>0</v>
      </c>
      <c r="M24" s="1">
        <f>ROUNDDOWN(L24*$E$6,0)</f>
        <v>0</v>
      </c>
      <c r="O24" s="3">
        <f>IF(K24=0,0,N24/K24)</f>
        <v>0</v>
      </c>
      <c r="P24" s="3">
        <f>M24*O24</f>
        <v>0</v>
      </c>
    </row>
    <row r="25" spans="2:16" x14ac:dyDescent="0.3">
      <c r="B25" t="s">
        <v>94</v>
      </c>
      <c r="C25" t="s">
        <v>36</v>
      </c>
      <c r="D25" t="s">
        <v>20</v>
      </c>
      <c r="F25" s="6">
        <f>IF($E$5=0,0,E25/$E$5)</f>
        <v>0</v>
      </c>
      <c r="G25" s="6">
        <f>ROUNDDOWN(F25*$E$6,0)</f>
        <v>0</v>
      </c>
      <c r="I25" s="3">
        <f>IF(E25=0,0,H25/E25)</f>
        <v>0</v>
      </c>
      <c r="J25" s="3">
        <f>G25*I25</f>
        <v>0</v>
      </c>
      <c r="L25" s="6">
        <f>IF($E$5=0,0,K25/$E$5)</f>
        <v>0</v>
      </c>
      <c r="M25" s="1">
        <f>ROUNDDOWN(L25*$E$6,0)</f>
        <v>0</v>
      </c>
      <c r="O25" s="3">
        <f>IF(K25=0,0,N25/K25)</f>
        <v>0</v>
      </c>
      <c r="P25" s="3">
        <f>M25*O25</f>
        <v>0</v>
      </c>
    </row>
    <row r="26" spans="2:16" x14ac:dyDescent="0.3">
      <c r="B26" t="s">
        <v>94</v>
      </c>
      <c r="C26" t="s">
        <v>37</v>
      </c>
      <c r="D26" t="s">
        <v>20</v>
      </c>
      <c r="F26" s="6">
        <f>IF($E$5=0,0,E26/$E$5)</f>
        <v>0</v>
      </c>
      <c r="G26" s="6">
        <f>ROUNDDOWN(F26*$E$6,0)</f>
        <v>0</v>
      </c>
      <c r="I26" s="3">
        <f>IF(E26=0,0,H26/E26)</f>
        <v>0</v>
      </c>
      <c r="J26" s="3">
        <f>G26*I26</f>
        <v>0</v>
      </c>
      <c r="L26" s="6">
        <f>IF($E$5=0,0,K26/$E$5)</f>
        <v>0</v>
      </c>
      <c r="M26" s="1">
        <f>ROUNDDOWN(L26*$E$6,0)</f>
        <v>0</v>
      </c>
      <c r="O26" s="3">
        <f>IF(K26=0,0,N26/K26)</f>
        <v>0</v>
      </c>
      <c r="P26" s="3">
        <f>M26*O26</f>
        <v>0</v>
      </c>
    </row>
    <row r="27" spans="2:16" x14ac:dyDescent="0.3">
      <c r="B27" t="s">
        <v>94</v>
      </c>
      <c r="C27" t="s">
        <v>38</v>
      </c>
      <c r="D27" t="s">
        <v>20</v>
      </c>
      <c r="F27" s="6">
        <f>IF($E$5=0,0,E27/$E$5)</f>
        <v>0</v>
      </c>
      <c r="G27" s="6">
        <f>ROUNDDOWN(F27*$E$6,0)</f>
        <v>0</v>
      </c>
      <c r="I27" s="3">
        <f>IF(E27=0,0,H27/E27)</f>
        <v>0</v>
      </c>
      <c r="J27" s="3">
        <f>G27*I27</f>
        <v>0</v>
      </c>
      <c r="L27" s="6">
        <f>IF($E$5=0,0,K27/$E$5)</f>
        <v>0</v>
      </c>
      <c r="M27" s="1">
        <f>ROUNDDOWN(L27*$E$6,0)</f>
        <v>0</v>
      </c>
      <c r="O27" s="3">
        <f>IF(K27=0,0,N27/K27)</f>
        <v>0</v>
      </c>
      <c r="P27" s="3">
        <f>M27*O27</f>
        <v>0</v>
      </c>
    </row>
    <row r="28" spans="2:16" x14ac:dyDescent="0.3">
      <c r="B28" t="s">
        <v>94</v>
      </c>
      <c r="C28" t="s">
        <v>39</v>
      </c>
      <c r="D28" t="s">
        <v>20</v>
      </c>
      <c r="F28" s="6">
        <f>IF($E$5=0,0,E28/$E$5)</f>
        <v>0</v>
      </c>
      <c r="G28" s="6">
        <f>ROUNDDOWN(F28*$E$6,0)</f>
        <v>0</v>
      </c>
      <c r="I28" s="3">
        <f>IF(E28=0,0,H28/E28)</f>
        <v>0</v>
      </c>
      <c r="J28" s="3">
        <f>G28*I28</f>
        <v>0</v>
      </c>
      <c r="L28" s="6">
        <f>IF($E$5=0,0,K28/$E$5)</f>
        <v>0</v>
      </c>
      <c r="M28" s="1">
        <f>ROUNDDOWN(L28*$E$6,0)</f>
        <v>0</v>
      </c>
      <c r="O28" s="3">
        <f>IF(K28=0,0,N28/K28)</f>
        <v>0</v>
      </c>
      <c r="P28" s="3">
        <f>M28*O28</f>
        <v>0</v>
      </c>
    </row>
    <row r="29" spans="2:16" x14ac:dyDescent="0.3">
      <c r="B29" t="s">
        <v>94</v>
      </c>
      <c r="C29" t="s">
        <v>9</v>
      </c>
      <c r="D29" t="s">
        <v>20</v>
      </c>
      <c r="F29" s="6">
        <f>IF($E$5=0,0,E29/$E$5)</f>
        <v>0</v>
      </c>
      <c r="G29" s="6">
        <f>ROUNDDOWN(F29*$E$6,0)</f>
        <v>0</v>
      </c>
      <c r="I29" s="3">
        <f>IF(E29=0,0,H29/E29)</f>
        <v>0</v>
      </c>
      <c r="J29" s="3">
        <f>G29*I29</f>
        <v>0</v>
      </c>
      <c r="L29" s="6">
        <f>IF($E$5=0,0,K29/$E$5)</f>
        <v>0</v>
      </c>
      <c r="M29" s="1">
        <f>ROUNDDOWN(L29*$E$6,0)</f>
        <v>0</v>
      </c>
      <c r="O29" s="3">
        <f>IF(K29=0,0,N29/K29)</f>
        <v>0</v>
      </c>
      <c r="P29" s="3">
        <f>M29*O29</f>
        <v>0</v>
      </c>
    </row>
    <row r="30" spans="2:16" x14ac:dyDescent="0.3">
      <c r="B30" t="s">
        <v>94</v>
      </c>
      <c r="C30" t="s">
        <v>10</v>
      </c>
      <c r="D30" t="s">
        <v>20</v>
      </c>
      <c r="F30" s="6">
        <f>IF($E$5=0,0,E30/$E$5)</f>
        <v>0</v>
      </c>
      <c r="G30" s="6">
        <f>ROUNDDOWN(F30*$E$6,0)</f>
        <v>0</v>
      </c>
      <c r="I30" s="3">
        <f>IF(E30=0,0,H30/E30)</f>
        <v>0</v>
      </c>
      <c r="J30" s="3">
        <f>G30*I30</f>
        <v>0</v>
      </c>
      <c r="L30" s="6">
        <f>IF($E$5=0,0,K30/$E$5)</f>
        <v>0</v>
      </c>
      <c r="M30" s="1">
        <f>ROUNDDOWN(L30*$E$6,0)</f>
        <v>0</v>
      </c>
      <c r="O30" s="3">
        <f>IF(K30=0,0,N30/K30)</f>
        <v>0</v>
      </c>
      <c r="P30" s="3">
        <f>M30*O30</f>
        <v>0</v>
      </c>
    </row>
    <row r="31" spans="2:16" x14ac:dyDescent="0.3">
      <c r="B31" t="s">
        <v>94</v>
      </c>
      <c r="C31" t="s">
        <v>11</v>
      </c>
      <c r="D31" t="s">
        <v>20</v>
      </c>
      <c r="F31" s="6">
        <f>IF($E$5=0,0,E31/$E$5)</f>
        <v>0</v>
      </c>
      <c r="G31" s="6">
        <f>ROUNDDOWN(F31*$E$6,0)</f>
        <v>0</v>
      </c>
      <c r="I31" s="3">
        <f>IF(E31=0,0,H31/E31)</f>
        <v>0</v>
      </c>
      <c r="J31" s="3">
        <f>G31*I31</f>
        <v>0</v>
      </c>
      <c r="L31" s="6">
        <f>IF($E$5=0,0,K31/$E$5)</f>
        <v>0</v>
      </c>
      <c r="M31" s="1">
        <f>ROUNDDOWN(L31*$E$6,0)</f>
        <v>0</v>
      </c>
      <c r="O31" s="3">
        <f>IF(K31=0,0,N31/K31)</f>
        <v>0</v>
      </c>
      <c r="P31" s="3">
        <f>M31*O31</f>
        <v>0</v>
      </c>
    </row>
    <row r="32" spans="2:16" x14ac:dyDescent="0.3">
      <c r="B32" t="s">
        <v>94</v>
      </c>
      <c r="C32" t="s">
        <v>40</v>
      </c>
      <c r="D32" t="s">
        <v>20</v>
      </c>
      <c r="F32" s="6">
        <f>IF($E$5=0,0,E32/$E$5)</f>
        <v>0</v>
      </c>
      <c r="G32" s="6">
        <f>ROUNDDOWN(F32*$E$6,0)</f>
        <v>0</v>
      </c>
      <c r="I32" s="3">
        <f>IF(E32=0,0,H32/E32)</f>
        <v>0</v>
      </c>
      <c r="J32" s="3">
        <f>G32*I32</f>
        <v>0</v>
      </c>
      <c r="L32" s="6">
        <f>IF($E$5=0,0,K32/$E$5)</f>
        <v>0</v>
      </c>
      <c r="M32" s="1">
        <f>ROUNDDOWN(L32*$E$6,0)</f>
        <v>0</v>
      </c>
      <c r="O32" s="3">
        <f>IF(K32=0,0,N32/K32)</f>
        <v>0</v>
      </c>
      <c r="P32" s="3">
        <f>M32*O32</f>
        <v>0</v>
      </c>
    </row>
    <row r="33" spans="2:16" x14ac:dyDescent="0.3">
      <c r="B33" t="s">
        <v>94</v>
      </c>
      <c r="C33" t="s">
        <v>41</v>
      </c>
      <c r="D33" t="s">
        <v>20</v>
      </c>
      <c r="F33" s="6">
        <f>IF($E$5=0,0,E33/$E$5)</f>
        <v>0</v>
      </c>
      <c r="G33" s="6">
        <f>ROUNDDOWN(F33*$E$6,0)</f>
        <v>0</v>
      </c>
      <c r="I33" s="3">
        <f>IF(E33=0,0,H33/E33)</f>
        <v>0</v>
      </c>
      <c r="J33" s="3">
        <f>G33*I33</f>
        <v>0</v>
      </c>
      <c r="L33" s="6">
        <f>IF($E$5=0,0,K33/$E$5)</f>
        <v>0</v>
      </c>
      <c r="M33" s="1">
        <f>ROUNDDOWN(L33*$E$6,0)</f>
        <v>0</v>
      </c>
      <c r="O33" s="3">
        <f>IF(K33=0,0,N33/K33)</f>
        <v>0</v>
      </c>
      <c r="P33" s="3">
        <f>M33*O33</f>
        <v>0</v>
      </c>
    </row>
    <row r="34" spans="2:16" x14ac:dyDescent="0.3">
      <c r="B34" t="s">
        <v>94</v>
      </c>
      <c r="C34" t="s">
        <v>12</v>
      </c>
      <c r="D34" t="s">
        <v>20</v>
      </c>
      <c r="F34" s="6">
        <f>IF($E$5=0,0,E34/$E$5)</f>
        <v>0</v>
      </c>
      <c r="G34" s="6">
        <f>ROUNDDOWN(F34*$E$6,0)</f>
        <v>0</v>
      </c>
      <c r="I34" s="3">
        <f>IF(E34=0,0,H34/E34)</f>
        <v>0</v>
      </c>
      <c r="J34" s="3">
        <f>G34*I34</f>
        <v>0</v>
      </c>
      <c r="L34" s="6">
        <f>IF($E$5=0,0,K34/$E$5)</f>
        <v>0</v>
      </c>
      <c r="M34" s="1">
        <f>ROUNDDOWN(L34*$E$6,0)</f>
        <v>0</v>
      </c>
      <c r="O34" s="3">
        <f>IF(K34=0,0,N34/K34)</f>
        <v>0</v>
      </c>
      <c r="P34" s="3">
        <f>M34*O34</f>
        <v>0</v>
      </c>
    </row>
    <row r="35" spans="2:16" x14ac:dyDescent="0.3">
      <c r="B35" t="s">
        <v>94</v>
      </c>
      <c r="C35" t="s">
        <v>42</v>
      </c>
      <c r="D35" t="s">
        <v>20</v>
      </c>
      <c r="F35" s="6">
        <f>IF($E$5=0,0,E35/$E$5)</f>
        <v>0</v>
      </c>
      <c r="G35" s="6">
        <f>ROUNDDOWN(F35*$E$6,0)</f>
        <v>0</v>
      </c>
      <c r="I35" s="3">
        <f>IF(E35=0,0,H35/E35)</f>
        <v>0</v>
      </c>
      <c r="J35" s="3">
        <f>G35*I35</f>
        <v>0</v>
      </c>
      <c r="L35" s="6">
        <f>IF($E$5=0,0,K35/$E$5)</f>
        <v>0</v>
      </c>
      <c r="M35" s="1">
        <f>ROUNDDOWN(L35*$E$6,0)</f>
        <v>0</v>
      </c>
      <c r="O35" s="3">
        <f>IF(K35=0,0,N35/K35)</f>
        <v>0</v>
      </c>
      <c r="P35" s="3">
        <f>M35*O35</f>
        <v>0</v>
      </c>
    </row>
    <row r="36" spans="2:16" x14ac:dyDescent="0.3">
      <c r="B36" t="s">
        <v>94</v>
      </c>
      <c r="C36" t="s">
        <v>13</v>
      </c>
      <c r="D36" t="s">
        <v>20</v>
      </c>
      <c r="F36" s="6">
        <f>IF($E$5=0,0,E36/$E$5)</f>
        <v>0</v>
      </c>
      <c r="G36" s="6">
        <f>ROUNDDOWN(F36*$E$6,0)</f>
        <v>0</v>
      </c>
      <c r="I36" s="3">
        <f>IF(E36=0,0,H36/E36)</f>
        <v>0</v>
      </c>
      <c r="J36" s="3">
        <f>G36*I36</f>
        <v>0</v>
      </c>
      <c r="L36" s="6">
        <f>IF($E$5=0,0,K36/$E$5)</f>
        <v>0</v>
      </c>
      <c r="M36" s="1">
        <f>ROUNDDOWN(L36*$E$6,0)</f>
        <v>0</v>
      </c>
      <c r="O36" s="3">
        <f>IF(K36=0,0,N36/K36)</f>
        <v>0</v>
      </c>
      <c r="P36" s="3">
        <f>M36*O36</f>
        <v>0</v>
      </c>
    </row>
    <row r="38" spans="2:16" x14ac:dyDescent="0.3">
      <c r="E38" s="1">
        <f>SUM(E7:E36)</f>
        <v>0</v>
      </c>
      <c r="G38" s="6">
        <f>SUM(G7:G36)</f>
        <v>0</v>
      </c>
      <c r="H38" s="3">
        <f>SUM(H7:H36)</f>
        <v>0</v>
      </c>
      <c r="I38" s="3">
        <f>IF(E38=0,0,H38/E38)</f>
        <v>0</v>
      </c>
      <c r="J38" s="3">
        <f>G38*I38</f>
        <v>0</v>
      </c>
      <c r="K38" s="1">
        <f>SUM(K7:K36)</f>
        <v>0</v>
      </c>
      <c r="M38" s="1">
        <f>SUM(M7:M36)</f>
        <v>0</v>
      </c>
      <c r="N38" s="3">
        <f>SUM(N7:N36)</f>
        <v>0</v>
      </c>
      <c r="O38" s="3">
        <f>IF(K38=0,0,N38/K38)</f>
        <v>0</v>
      </c>
      <c r="P38" s="3">
        <f>M38*O38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State Summary Graphs</vt:lpstr>
      <vt:lpstr>2016_IC3 State to City</vt:lpstr>
      <vt:lpstr>2017_IC3 State to City</vt:lpstr>
      <vt:lpstr>2018_IC3 State to City</vt:lpstr>
      <vt:lpstr>2019_IC3 State to City</vt:lpstr>
      <vt:lpstr>2020_IC3 State to City</vt:lpstr>
      <vt:lpstr>2021_IC3 State to City</vt:lpstr>
      <vt:lpstr>City Summary</vt:lpstr>
      <vt:lpstr>2022_IC3 State to City</vt:lpstr>
      <vt:lpstr>BLANK_IC3 State to City</vt:lpstr>
      <vt:lpstr>BLANK_IC3 State to City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O'Keefe-Odom</dc:creator>
  <cp:lastModifiedBy>John O'Keefe-Odom</cp:lastModifiedBy>
  <dcterms:created xsi:type="dcterms:W3CDTF">2023-11-08T00:59:32Z</dcterms:created>
  <dcterms:modified xsi:type="dcterms:W3CDTF">2026-08-03T17:21:12Z</dcterms:modified>
</cp:coreProperties>
</file>