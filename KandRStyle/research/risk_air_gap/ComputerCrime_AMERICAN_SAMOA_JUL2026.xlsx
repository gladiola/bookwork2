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adi\source\repos\bookWork2\KandRStyle\research\risk_air_gap\"/>
    </mc:Choice>
  </mc:AlternateContent>
  <xr:revisionPtr revIDLastSave="0" documentId="8_{8551CEDB-65C2-4B01-BB3D-DB41DF7C2EC6}" xr6:coauthVersionLast="47" xr6:coauthVersionMax="47" xr10:uidLastSave="{00000000-0000-0000-0000-000000000000}"/>
  <bookViews>
    <workbookView xWindow="-108" yWindow="-108" windowWidth="23256" windowHeight="12456" firstSheet="6" activeTab="8" xr2:uid="{A6B90A6B-86D8-4A34-B9C9-776670F3C0EC}"/>
  </bookViews>
  <sheets>
    <sheet name="State Summary Graphs" sheetId="13" r:id="rId1"/>
    <sheet name="2016_IC3 State to City" sheetId="11" r:id="rId2"/>
    <sheet name="2017_IC3 State to City" sheetId="10" r:id="rId3"/>
    <sheet name="2018_IC3 State to City" sheetId="9" r:id="rId4"/>
    <sheet name="2019_IC3 State to City" sheetId="8" r:id="rId5"/>
    <sheet name="2020_IC3 State to City" sheetId="7" r:id="rId6"/>
    <sheet name="2021_IC3 State to City" sheetId="6" r:id="rId7"/>
    <sheet name="City Summary" sheetId="12" r:id="rId8"/>
    <sheet name="2022_IC3 State to City" sheetId="3" r:id="rId9"/>
    <sheet name="BLANK_IC3 State to City" sheetId="4" r:id="rId10"/>
    <sheet name="BLANK_IC3 State to City (2)" sheetId="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3" l="1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L7" i="9"/>
  <c r="M7" i="9"/>
  <c r="L8" i="9"/>
  <c r="M8" i="9" s="1"/>
  <c r="L9" i="9"/>
  <c r="M9" i="9" s="1"/>
  <c r="L10" i="9"/>
  <c r="M10" i="9"/>
  <c r="L11" i="9"/>
  <c r="M11" i="9"/>
  <c r="L12" i="9"/>
  <c r="M12" i="9" s="1"/>
  <c r="L13" i="9"/>
  <c r="M13" i="9" s="1"/>
  <c r="L14" i="9"/>
  <c r="M14" i="9"/>
  <c r="L15" i="9"/>
  <c r="M15" i="9"/>
  <c r="L16" i="9"/>
  <c r="M16" i="9" s="1"/>
  <c r="L17" i="9"/>
  <c r="M17" i="9" s="1"/>
  <c r="L18" i="9"/>
  <c r="M18" i="9"/>
  <c r="L19" i="9"/>
  <c r="M19" i="9"/>
  <c r="L20" i="9"/>
  <c r="M20" i="9" s="1"/>
  <c r="L21" i="9"/>
  <c r="M21" i="9" s="1"/>
  <c r="L22" i="9"/>
  <c r="M22" i="9"/>
  <c r="L23" i="9"/>
  <c r="M23" i="9"/>
  <c r="L24" i="9"/>
  <c r="M24" i="9" s="1"/>
  <c r="L25" i="9"/>
  <c r="M25" i="9" s="1"/>
  <c r="L26" i="9"/>
  <c r="M26" i="9"/>
  <c r="L27" i="9"/>
  <c r="M27" i="9"/>
  <c r="L28" i="9"/>
  <c r="M28" i="9" s="1"/>
  <c r="L29" i="9"/>
  <c r="M29" i="9" s="1"/>
  <c r="L30" i="9"/>
  <c r="M30" i="9"/>
  <c r="L31" i="9"/>
  <c r="M31" i="9"/>
  <c r="L32" i="9"/>
  <c r="M32" i="9" s="1"/>
  <c r="L33" i="9"/>
  <c r="M33" i="9" s="1"/>
  <c r="L34" i="9"/>
  <c r="M34" i="9"/>
  <c r="L35" i="9"/>
  <c r="M35" i="9"/>
  <c r="L36" i="9"/>
  <c r="M36" i="9" s="1"/>
  <c r="I38" i="9"/>
  <c r="I36" i="9"/>
  <c r="I35" i="9"/>
  <c r="I34" i="9"/>
  <c r="I33" i="9"/>
  <c r="I32" i="9"/>
  <c r="J32" i="9" s="1"/>
  <c r="I31" i="9"/>
  <c r="J31" i="9" s="1"/>
  <c r="I30" i="9"/>
  <c r="J30" i="9" s="1"/>
  <c r="I29" i="9"/>
  <c r="I28" i="9"/>
  <c r="I27" i="9"/>
  <c r="I26" i="9"/>
  <c r="I25" i="9"/>
  <c r="I24" i="9"/>
  <c r="J24" i="9" s="1"/>
  <c r="I23" i="9"/>
  <c r="J23" i="9" s="1"/>
  <c r="I22" i="9"/>
  <c r="J22" i="9" s="1"/>
  <c r="I21" i="9"/>
  <c r="I20" i="9"/>
  <c r="I19" i="9"/>
  <c r="I18" i="9"/>
  <c r="I17" i="9"/>
  <c r="I16" i="9"/>
  <c r="I15" i="9"/>
  <c r="J15" i="9" s="1"/>
  <c r="I14" i="9"/>
  <c r="J14" i="9" s="1"/>
  <c r="I13" i="9"/>
  <c r="I12" i="9"/>
  <c r="I11" i="9"/>
  <c r="I10" i="9"/>
  <c r="J10" i="9" s="1"/>
  <c r="I9" i="9"/>
  <c r="J9" i="9" s="1"/>
  <c r="I8" i="9"/>
  <c r="I7" i="9"/>
  <c r="J8" i="9"/>
  <c r="J11" i="9"/>
  <c r="J12" i="9"/>
  <c r="J13" i="9"/>
  <c r="J16" i="9"/>
  <c r="J17" i="9"/>
  <c r="J18" i="9"/>
  <c r="J38" i="9"/>
  <c r="J37" i="9"/>
  <c r="J36" i="9"/>
  <c r="J35" i="9"/>
  <c r="J34" i="9"/>
  <c r="J33" i="9"/>
  <c r="J29" i="9"/>
  <c r="J28" i="9"/>
  <c r="J27" i="9"/>
  <c r="J26" i="9"/>
  <c r="J25" i="9"/>
  <c r="J21" i="9"/>
  <c r="J20" i="9"/>
  <c r="J19" i="9"/>
  <c r="J7" i="9"/>
  <c r="K36" i="10"/>
  <c r="H36" i="10"/>
  <c r="K36" i="11"/>
  <c r="J8" i="11"/>
  <c r="J9" i="11"/>
  <c r="J10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7" i="11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0" i="10"/>
  <c r="G9" i="10"/>
  <c r="G8" i="10"/>
  <c r="G7" i="11"/>
  <c r="N36" i="11"/>
  <c r="O13" i="11"/>
  <c r="H36" i="11"/>
  <c r="E36" i="10" l="1"/>
  <c r="E36" i="11"/>
  <c r="E38" i="11" l="1"/>
  <c r="I38" i="11" s="1"/>
  <c r="E38" i="10"/>
  <c r="E38" i="9"/>
  <c r="E38" i="8"/>
  <c r="I13" i="10"/>
  <c r="I12" i="10"/>
  <c r="G37" i="3"/>
  <c r="D19" i="12" l="1"/>
  <c r="F8" i="12"/>
  <c r="C5" i="13"/>
  <c r="C6" i="13"/>
  <c r="C7" i="13"/>
  <c r="C8" i="13"/>
  <c r="C9" i="13"/>
  <c r="C10" i="13"/>
  <c r="R11" i="13"/>
  <c r="C11" i="13"/>
  <c r="C11" i="12"/>
  <c r="C10" i="12"/>
  <c r="D10" i="12" s="1"/>
  <c r="C9" i="12"/>
  <c r="C8" i="12"/>
  <c r="C7" i="12"/>
  <c r="C6" i="12"/>
  <c r="C5" i="12"/>
  <c r="O36" i="11"/>
  <c r="L36" i="11"/>
  <c r="M36" i="11" s="1"/>
  <c r="F36" i="11"/>
  <c r="G36" i="11" s="1"/>
  <c r="M5" i="12" s="1"/>
  <c r="O35" i="11"/>
  <c r="L35" i="11"/>
  <c r="M35" i="11" s="1"/>
  <c r="F35" i="11"/>
  <c r="G35" i="11" s="1"/>
  <c r="O34" i="11"/>
  <c r="L34" i="11"/>
  <c r="M34" i="11" s="1"/>
  <c r="F34" i="11"/>
  <c r="G34" i="11" s="1"/>
  <c r="O33" i="11"/>
  <c r="L33" i="11"/>
  <c r="M33" i="11" s="1"/>
  <c r="F33" i="11"/>
  <c r="G33" i="11" s="1"/>
  <c r="O32" i="11"/>
  <c r="L32" i="11"/>
  <c r="M32" i="11" s="1"/>
  <c r="F32" i="11"/>
  <c r="G32" i="11" s="1"/>
  <c r="O31" i="11"/>
  <c r="L31" i="11"/>
  <c r="M31" i="11" s="1"/>
  <c r="F31" i="11"/>
  <c r="G31" i="11" s="1"/>
  <c r="J5" i="12" s="1"/>
  <c r="O30" i="11"/>
  <c r="L30" i="11"/>
  <c r="M30" i="11" s="1"/>
  <c r="F30" i="11"/>
  <c r="G30" i="11" s="1"/>
  <c r="I5" i="12" s="1"/>
  <c r="O29" i="11"/>
  <c r="L29" i="11"/>
  <c r="M29" i="11" s="1"/>
  <c r="F29" i="11"/>
  <c r="G29" i="11" s="1"/>
  <c r="G5" i="12" s="1"/>
  <c r="O28" i="11"/>
  <c r="L28" i="11"/>
  <c r="M28" i="11" s="1"/>
  <c r="F28" i="11"/>
  <c r="G28" i="11" s="1"/>
  <c r="O27" i="11"/>
  <c r="L27" i="11"/>
  <c r="M27" i="11" s="1"/>
  <c r="F27" i="11"/>
  <c r="G27" i="11" s="1"/>
  <c r="O26" i="11"/>
  <c r="L26" i="11"/>
  <c r="M26" i="11" s="1"/>
  <c r="F26" i="11"/>
  <c r="G26" i="11" s="1"/>
  <c r="O25" i="11"/>
  <c r="L25" i="11"/>
  <c r="M25" i="11" s="1"/>
  <c r="F25" i="11"/>
  <c r="G25" i="11" s="1"/>
  <c r="O24" i="11"/>
  <c r="L24" i="11"/>
  <c r="M24" i="11" s="1"/>
  <c r="P24" i="11" s="1"/>
  <c r="F24" i="11"/>
  <c r="G24" i="11" s="1"/>
  <c r="O23" i="11"/>
  <c r="L23" i="11"/>
  <c r="M23" i="11" s="1"/>
  <c r="F23" i="11"/>
  <c r="G23" i="11" s="1"/>
  <c r="O22" i="11"/>
  <c r="L22" i="11"/>
  <c r="M22" i="11" s="1"/>
  <c r="F22" i="11"/>
  <c r="G22" i="11" s="1"/>
  <c r="H5" i="12" s="1"/>
  <c r="O21" i="11"/>
  <c r="L21" i="11"/>
  <c r="M21" i="11" s="1"/>
  <c r="F21" i="11"/>
  <c r="G21" i="11" s="1"/>
  <c r="O20" i="11"/>
  <c r="L20" i="11"/>
  <c r="M20" i="11" s="1"/>
  <c r="F20" i="11"/>
  <c r="G20" i="11" s="1"/>
  <c r="O19" i="11"/>
  <c r="L19" i="11"/>
  <c r="M19" i="11" s="1"/>
  <c r="F19" i="11"/>
  <c r="G19" i="11" s="1"/>
  <c r="O5" i="12" s="1"/>
  <c r="O18" i="11"/>
  <c r="L18" i="11"/>
  <c r="M18" i="11" s="1"/>
  <c r="F18" i="11"/>
  <c r="G18" i="11" s="1"/>
  <c r="N5" i="12" s="1"/>
  <c r="O17" i="11"/>
  <c r="L17" i="11"/>
  <c r="M17" i="11" s="1"/>
  <c r="F17" i="11"/>
  <c r="G17" i="11" s="1"/>
  <c r="O16" i="11"/>
  <c r="L16" i="11"/>
  <c r="M16" i="11" s="1"/>
  <c r="F16" i="11"/>
  <c r="G16" i="11" s="1"/>
  <c r="O15" i="11"/>
  <c r="L15" i="11"/>
  <c r="M15" i="11" s="1"/>
  <c r="F15" i="11"/>
  <c r="G15" i="11" s="1"/>
  <c r="L5" i="12" s="1"/>
  <c r="O14" i="11"/>
  <c r="L14" i="11"/>
  <c r="M14" i="11" s="1"/>
  <c r="F14" i="11"/>
  <c r="G14" i="11" s="1"/>
  <c r="L13" i="11"/>
  <c r="M13" i="11" s="1"/>
  <c r="P13" i="11" s="1"/>
  <c r="F13" i="11"/>
  <c r="G13" i="11" s="1"/>
  <c r="F5" i="12" s="1"/>
  <c r="O12" i="11"/>
  <c r="L12" i="11"/>
  <c r="M12" i="11" s="1"/>
  <c r="F12" i="11"/>
  <c r="G12" i="11" s="1"/>
  <c r="K5" i="12" s="1"/>
  <c r="O11" i="11"/>
  <c r="L11" i="11"/>
  <c r="M11" i="11" s="1"/>
  <c r="F11" i="11"/>
  <c r="G11" i="11" s="1"/>
  <c r="J11" i="11" s="1"/>
  <c r="O10" i="11"/>
  <c r="L10" i="11"/>
  <c r="M10" i="11" s="1"/>
  <c r="F10" i="11"/>
  <c r="G10" i="11" s="1"/>
  <c r="O9" i="11"/>
  <c r="L9" i="11"/>
  <c r="M9" i="11" s="1"/>
  <c r="F9" i="11"/>
  <c r="G9" i="11" s="1"/>
  <c r="O8" i="11"/>
  <c r="L8" i="11"/>
  <c r="M8" i="11" s="1"/>
  <c r="F8" i="11"/>
  <c r="G8" i="11" s="1"/>
  <c r="P5" i="12" s="1"/>
  <c r="O7" i="11"/>
  <c r="L7" i="11"/>
  <c r="M7" i="11" s="1"/>
  <c r="F7" i="11"/>
  <c r="I38" i="10"/>
  <c r="J37" i="10"/>
  <c r="O36" i="10"/>
  <c r="L36" i="10"/>
  <c r="M36" i="10" s="1"/>
  <c r="I36" i="10"/>
  <c r="F36" i="10"/>
  <c r="M6" i="12" s="1"/>
  <c r="O35" i="10"/>
  <c r="L35" i="10"/>
  <c r="M35" i="10" s="1"/>
  <c r="I35" i="10"/>
  <c r="F35" i="10"/>
  <c r="O34" i="10"/>
  <c r="L34" i="10"/>
  <c r="M34" i="10" s="1"/>
  <c r="I34" i="10"/>
  <c r="F34" i="10"/>
  <c r="O33" i="10"/>
  <c r="L33" i="10"/>
  <c r="M33" i="10" s="1"/>
  <c r="I33" i="10"/>
  <c r="F33" i="10"/>
  <c r="O32" i="10"/>
  <c r="L32" i="10"/>
  <c r="M32" i="10" s="1"/>
  <c r="I32" i="10"/>
  <c r="F32" i="10"/>
  <c r="O31" i="10"/>
  <c r="L31" i="10"/>
  <c r="M31" i="10" s="1"/>
  <c r="I31" i="10"/>
  <c r="F31" i="10"/>
  <c r="J6" i="12" s="1"/>
  <c r="O30" i="10"/>
  <c r="L30" i="10"/>
  <c r="M30" i="10" s="1"/>
  <c r="I30" i="10"/>
  <c r="F30" i="10"/>
  <c r="I6" i="12" s="1"/>
  <c r="O29" i="10"/>
  <c r="L29" i="10"/>
  <c r="M29" i="10" s="1"/>
  <c r="I29" i="10"/>
  <c r="F29" i="10"/>
  <c r="O28" i="10"/>
  <c r="L28" i="10"/>
  <c r="M28" i="10" s="1"/>
  <c r="I28" i="10"/>
  <c r="F28" i="10"/>
  <c r="O27" i="10"/>
  <c r="L27" i="10"/>
  <c r="M27" i="10" s="1"/>
  <c r="I27" i="10"/>
  <c r="F27" i="10"/>
  <c r="O26" i="10"/>
  <c r="L26" i="10"/>
  <c r="M26" i="10" s="1"/>
  <c r="I26" i="10"/>
  <c r="F26" i="10"/>
  <c r="O25" i="10"/>
  <c r="L25" i="10"/>
  <c r="M25" i="10" s="1"/>
  <c r="I25" i="10"/>
  <c r="F25" i="10"/>
  <c r="O24" i="10"/>
  <c r="L24" i="10"/>
  <c r="M24" i="10" s="1"/>
  <c r="P24" i="10" s="1"/>
  <c r="I24" i="10"/>
  <c r="F24" i="10"/>
  <c r="O23" i="10"/>
  <c r="L23" i="10"/>
  <c r="M23" i="10" s="1"/>
  <c r="I23" i="10"/>
  <c r="F23" i="10"/>
  <c r="O22" i="10"/>
  <c r="L22" i="10"/>
  <c r="M22" i="10" s="1"/>
  <c r="I22" i="10"/>
  <c r="F22" i="10"/>
  <c r="H6" i="12" s="1"/>
  <c r="O21" i="10"/>
  <c r="L21" i="10"/>
  <c r="M21" i="10" s="1"/>
  <c r="I21" i="10"/>
  <c r="F21" i="10"/>
  <c r="O20" i="10"/>
  <c r="L20" i="10"/>
  <c r="M20" i="10" s="1"/>
  <c r="I20" i="10"/>
  <c r="F20" i="10"/>
  <c r="O19" i="10"/>
  <c r="L19" i="10"/>
  <c r="M19" i="10" s="1"/>
  <c r="I19" i="10"/>
  <c r="F19" i="10"/>
  <c r="O6" i="12" s="1"/>
  <c r="O18" i="10"/>
  <c r="L18" i="10"/>
  <c r="M18" i="10" s="1"/>
  <c r="I18" i="10"/>
  <c r="F18" i="10"/>
  <c r="N6" i="12" s="1"/>
  <c r="O17" i="10"/>
  <c r="L17" i="10"/>
  <c r="M17" i="10" s="1"/>
  <c r="I17" i="10"/>
  <c r="F17" i="10"/>
  <c r="O16" i="10"/>
  <c r="L16" i="10"/>
  <c r="M16" i="10" s="1"/>
  <c r="I16" i="10"/>
  <c r="F16" i="10"/>
  <c r="O15" i="10"/>
  <c r="L15" i="10"/>
  <c r="M15" i="10" s="1"/>
  <c r="I15" i="10"/>
  <c r="F15" i="10"/>
  <c r="L6" i="12" s="1"/>
  <c r="O14" i="10"/>
  <c r="L14" i="10"/>
  <c r="M14" i="10" s="1"/>
  <c r="I14" i="10"/>
  <c r="F14" i="10"/>
  <c r="O13" i="10"/>
  <c r="L13" i="10"/>
  <c r="M13" i="10" s="1"/>
  <c r="F13" i="10"/>
  <c r="F6" i="12" s="1"/>
  <c r="O12" i="10"/>
  <c r="L12" i="10"/>
  <c r="M12" i="10" s="1"/>
  <c r="F12" i="10"/>
  <c r="K6" i="12" s="1"/>
  <c r="O11" i="10"/>
  <c r="L11" i="10"/>
  <c r="M11" i="10" s="1"/>
  <c r="I11" i="10"/>
  <c r="F11" i="10"/>
  <c r="G11" i="10" s="1"/>
  <c r="O10" i="10"/>
  <c r="L10" i="10"/>
  <c r="M10" i="10" s="1"/>
  <c r="I10" i="10"/>
  <c r="F10" i="10"/>
  <c r="O9" i="10"/>
  <c r="L9" i="10"/>
  <c r="M9" i="10" s="1"/>
  <c r="P9" i="10" s="1"/>
  <c r="I9" i="10"/>
  <c r="F9" i="10"/>
  <c r="O8" i="10"/>
  <c r="L8" i="10"/>
  <c r="M8" i="10" s="1"/>
  <c r="I8" i="10"/>
  <c r="F8" i="10"/>
  <c r="P6" i="12" s="1"/>
  <c r="O7" i="10"/>
  <c r="L7" i="10"/>
  <c r="M7" i="10" s="1"/>
  <c r="I7" i="10"/>
  <c r="F7" i="10"/>
  <c r="P14" i="10" l="1"/>
  <c r="P12" i="10"/>
  <c r="P11" i="10"/>
  <c r="P32" i="11"/>
  <c r="P28" i="11"/>
  <c r="P34" i="11"/>
  <c r="P20" i="11"/>
  <c r="P18" i="11"/>
  <c r="P16" i="11"/>
  <c r="P8" i="11"/>
  <c r="P14" i="11"/>
  <c r="P17" i="10"/>
  <c r="P19" i="10"/>
  <c r="P23" i="10"/>
  <c r="P29" i="10"/>
  <c r="P31" i="10"/>
  <c r="P33" i="10"/>
  <c r="P35" i="10"/>
  <c r="P9" i="11"/>
  <c r="P11" i="11"/>
  <c r="P36" i="11"/>
  <c r="P10" i="11"/>
  <c r="P17" i="11"/>
  <c r="P23" i="11"/>
  <c r="P33" i="11"/>
  <c r="D7" i="12"/>
  <c r="D9" i="12"/>
  <c r="D8" i="12"/>
  <c r="D21" i="12"/>
  <c r="G6" i="12"/>
  <c r="J34" i="10"/>
  <c r="J33" i="10"/>
  <c r="D6" i="12"/>
  <c r="D14" i="12"/>
  <c r="D17" i="12" s="1"/>
  <c r="D11" i="12"/>
  <c r="P35" i="11"/>
  <c r="P31" i="11"/>
  <c r="P30" i="11"/>
  <c r="P27" i="11"/>
  <c r="P26" i="11"/>
  <c r="P22" i="11"/>
  <c r="P12" i="11"/>
  <c r="P29" i="11"/>
  <c r="P25" i="11"/>
  <c r="P21" i="11"/>
  <c r="P19" i="11"/>
  <c r="P15" i="11"/>
  <c r="P7" i="11"/>
  <c r="G38" i="11"/>
  <c r="J38" i="11" s="1"/>
  <c r="P32" i="10"/>
  <c r="P25" i="10"/>
  <c r="P20" i="10"/>
  <c r="P36" i="10"/>
  <c r="P16" i="10"/>
  <c r="P13" i="10"/>
  <c r="P10" i="10"/>
  <c r="P7" i="10"/>
  <c r="P34" i="10"/>
  <c r="P30" i="10"/>
  <c r="P28" i="10"/>
  <c r="P27" i="10"/>
  <c r="P26" i="10"/>
  <c r="P22" i="10"/>
  <c r="P21" i="10"/>
  <c r="P18" i="10"/>
  <c r="P15" i="10"/>
  <c r="P8" i="10"/>
  <c r="J18" i="10"/>
  <c r="J17" i="10"/>
  <c r="J25" i="10"/>
  <c r="J38" i="10"/>
  <c r="J10" i="10"/>
  <c r="J26" i="10"/>
  <c r="J15" i="10"/>
  <c r="J23" i="10"/>
  <c r="J31" i="10"/>
  <c r="J12" i="10"/>
  <c r="J20" i="10"/>
  <c r="J28" i="10"/>
  <c r="J36" i="10"/>
  <c r="J9" i="10"/>
  <c r="J14" i="10"/>
  <c r="J22" i="10"/>
  <c r="J30" i="10"/>
  <c r="J11" i="10"/>
  <c r="J19" i="10"/>
  <c r="J27" i="10"/>
  <c r="J35" i="10"/>
  <c r="J8" i="10"/>
  <c r="J16" i="10"/>
  <c r="J24" i="10"/>
  <c r="J32" i="10"/>
  <c r="J13" i="10"/>
  <c r="J21" i="10"/>
  <c r="J29" i="10"/>
  <c r="D16" i="12" l="1"/>
  <c r="D15" i="12"/>
  <c r="O36" i="9" l="1"/>
  <c r="O35" i="9"/>
  <c r="P35" i="9" s="1"/>
  <c r="O34" i="9"/>
  <c r="O33" i="9"/>
  <c r="P33" i="9"/>
  <c r="O32" i="9"/>
  <c r="O31" i="9"/>
  <c r="P31" i="9"/>
  <c r="J7" i="12"/>
  <c r="O30" i="9"/>
  <c r="I7" i="12"/>
  <c r="O29" i="9"/>
  <c r="G7" i="12"/>
  <c r="O28" i="9"/>
  <c r="O27" i="9"/>
  <c r="P27" i="9"/>
  <c r="O26" i="9"/>
  <c r="O25" i="9"/>
  <c r="P25" i="9" s="1"/>
  <c r="O24" i="9"/>
  <c r="O23" i="9"/>
  <c r="P23" i="9" s="1"/>
  <c r="O22" i="9"/>
  <c r="H7" i="12"/>
  <c r="O21" i="9"/>
  <c r="P21" i="9" s="1"/>
  <c r="O20" i="9"/>
  <c r="O19" i="9"/>
  <c r="P19" i="9"/>
  <c r="O7" i="12"/>
  <c r="N7" i="12"/>
  <c r="O17" i="9"/>
  <c r="O16" i="9"/>
  <c r="L7" i="12"/>
  <c r="O13" i="9"/>
  <c r="F7" i="12"/>
  <c r="O12" i="9"/>
  <c r="K7" i="12"/>
  <c r="O11" i="9"/>
  <c r="O10" i="9"/>
  <c r="O9" i="9"/>
  <c r="O8" i="9"/>
  <c r="P7" i="12"/>
  <c r="O7" i="9"/>
  <c r="I38" i="8"/>
  <c r="J37" i="8"/>
  <c r="M8" i="12"/>
  <c r="J8" i="12"/>
  <c r="I8" i="12"/>
  <c r="G8" i="12"/>
  <c r="H8" i="12"/>
  <c r="O8" i="12"/>
  <c r="N8" i="12"/>
  <c r="L8" i="12"/>
  <c r="K8" i="12"/>
  <c r="P8" i="12"/>
  <c r="E38" i="7"/>
  <c r="I38" i="7" s="1"/>
  <c r="J37" i="7"/>
  <c r="M9" i="12"/>
  <c r="J9" i="12"/>
  <c r="I9" i="12"/>
  <c r="G9" i="12"/>
  <c r="H9" i="12"/>
  <c r="O9" i="12"/>
  <c r="N9" i="12"/>
  <c r="L9" i="12"/>
  <c r="F9" i="12"/>
  <c r="K9" i="12"/>
  <c r="P9" i="12"/>
  <c r="E38" i="6"/>
  <c r="I38" i="6" s="1"/>
  <c r="J37" i="6"/>
  <c r="M10" i="12"/>
  <c r="J10" i="12"/>
  <c r="I10" i="12"/>
  <c r="G10" i="12"/>
  <c r="H10" i="12"/>
  <c r="O10" i="12"/>
  <c r="N10" i="12"/>
  <c r="F10" i="12"/>
  <c r="K10" i="12"/>
  <c r="L10" i="12" s="1"/>
  <c r="P10" i="12"/>
  <c r="I38" i="5"/>
  <c r="E38" i="5"/>
  <c r="J37" i="5"/>
  <c r="O36" i="5"/>
  <c r="L36" i="5"/>
  <c r="M36" i="5" s="1"/>
  <c r="P36" i="5" s="1"/>
  <c r="I36" i="5"/>
  <c r="F36" i="5"/>
  <c r="G36" i="5" s="1"/>
  <c r="O35" i="5"/>
  <c r="L35" i="5"/>
  <c r="M35" i="5" s="1"/>
  <c r="P35" i="5" s="1"/>
  <c r="I35" i="5"/>
  <c r="G35" i="5"/>
  <c r="F35" i="5"/>
  <c r="O34" i="5"/>
  <c r="L34" i="5"/>
  <c r="M34" i="5" s="1"/>
  <c r="P34" i="5" s="1"/>
  <c r="I34" i="5"/>
  <c r="F34" i="5"/>
  <c r="G34" i="5" s="1"/>
  <c r="O33" i="5"/>
  <c r="L33" i="5"/>
  <c r="M33" i="5" s="1"/>
  <c r="P33" i="5" s="1"/>
  <c r="I33" i="5"/>
  <c r="G33" i="5"/>
  <c r="F33" i="5"/>
  <c r="O32" i="5"/>
  <c r="L32" i="5"/>
  <c r="M32" i="5" s="1"/>
  <c r="P32" i="5" s="1"/>
  <c r="I32" i="5"/>
  <c r="F32" i="5"/>
  <c r="G32" i="5" s="1"/>
  <c r="O31" i="5"/>
  <c r="L31" i="5"/>
  <c r="M31" i="5" s="1"/>
  <c r="P31" i="5" s="1"/>
  <c r="I31" i="5"/>
  <c r="F31" i="5"/>
  <c r="G31" i="5" s="1"/>
  <c r="O30" i="5"/>
  <c r="L30" i="5"/>
  <c r="M30" i="5" s="1"/>
  <c r="P30" i="5" s="1"/>
  <c r="I30" i="5"/>
  <c r="F30" i="5"/>
  <c r="G30" i="5" s="1"/>
  <c r="O29" i="5"/>
  <c r="L29" i="5"/>
  <c r="M29" i="5" s="1"/>
  <c r="P29" i="5" s="1"/>
  <c r="I29" i="5"/>
  <c r="F29" i="5"/>
  <c r="G29" i="5" s="1"/>
  <c r="O28" i="5"/>
  <c r="L28" i="5"/>
  <c r="M28" i="5" s="1"/>
  <c r="P28" i="5" s="1"/>
  <c r="I28" i="5"/>
  <c r="F28" i="5"/>
  <c r="G28" i="5" s="1"/>
  <c r="O27" i="5"/>
  <c r="L27" i="5"/>
  <c r="M27" i="5" s="1"/>
  <c r="P27" i="5" s="1"/>
  <c r="I27" i="5"/>
  <c r="G27" i="5"/>
  <c r="F27" i="5"/>
  <c r="O26" i="5"/>
  <c r="L26" i="5"/>
  <c r="M26" i="5" s="1"/>
  <c r="P26" i="5" s="1"/>
  <c r="I26" i="5"/>
  <c r="F26" i="5"/>
  <c r="G26" i="5" s="1"/>
  <c r="O25" i="5"/>
  <c r="L25" i="5"/>
  <c r="M25" i="5" s="1"/>
  <c r="P25" i="5" s="1"/>
  <c r="I25" i="5"/>
  <c r="G25" i="5"/>
  <c r="F25" i="5"/>
  <c r="O24" i="5"/>
  <c r="L24" i="5"/>
  <c r="M24" i="5" s="1"/>
  <c r="P24" i="5" s="1"/>
  <c r="I24" i="5"/>
  <c r="F24" i="5"/>
  <c r="G24" i="5" s="1"/>
  <c r="O23" i="5"/>
  <c r="L23" i="5"/>
  <c r="M23" i="5" s="1"/>
  <c r="P23" i="5" s="1"/>
  <c r="I23" i="5"/>
  <c r="F23" i="5"/>
  <c r="G23" i="5" s="1"/>
  <c r="O22" i="5"/>
  <c r="L22" i="5"/>
  <c r="M22" i="5" s="1"/>
  <c r="P22" i="5" s="1"/>
  <c r="I22" i="5"/>
  <c r="F22" i="5"/>
  <c r="G22" i="5" s="1"/>
  <c r="O21" i="5"/>
  <c r="L21" i="5"/>
  <c r="M21" i="5" s="1"/>
  <c r="P21" i="5" s="1"/>
  <c r="I21" i="5"/>
  <c r="F21" i="5"/>
  <c r="G21" i="5" s="1"/>
  <c r="O20" i="5"/>
  <c r="L20" i="5"/>
  <c r="M20" i="5" s="1"/>
  <c r="P20" i="5" s="1"/>
  <c r="I20" i="5"/>
  <c r="F20" i="5"/>
  <c r="G20" i="5" s="1"/>
  <c r="O19" i="5"/>
  <c r="L19" i="5"/>
  <c r="M19" i="5" s="1"/>
  <c r="P19" i="5" s="1"/>
  <c r="I19" i="5"/>
  <c r="G19" i="5"/>
  <c r="F19" i="5"/>
  <c r="O18" i="5"/>
  <c r="L18" i="5"/>
  <c r="M18" i="5" s="1"/>
  <c r="P18" i="5" s="1"/>
  <c r="I18" i="5"/>
  <c r="F18" i="5"/>
  <c r="G18" i="5" s="1"/>
  <c r="O17" i="5"/>
  <c r="L17" i="5"/>
  <c r="M17" i="5" s="1"/>
  <c r="P17" i="5" s="1"/>
  <c r="I17" i="5"/>
  <c r="G17" i="5"/>
  <c r="F17" i="5"/>
  <c r="O16" i="5"/>
  <c r="L16" i="5"/>
  <c r="M16" i="5" s="1"/>
  <c r="P16" i="5" s="1"/>
  <c r="I16" i="5"/>
  <c r="F16" i="5"/>
  <c r="G16" i="5" s="1"/>
  <c r="O15" i="5"/>
  <c r="L15" i="5"/>
  <c r="M15" i="5" s="1"/>
  <c r="P15" i="5" s="1"/>
  <c r="I15" i="5"/>
  <c r="F15" i="5"/>
  <c r="G15" i="5" s="1"/>
  <c r="O14" i="5"/>
  <c r="L14" i="5"/>
  <c r="M14" i="5" s="1"/>
  <c r="P14" i="5" s="1"/>
  <c r="I14" i="5"/>
  <c r="F14" i="5"/>
  <c r="G14" i="5" s="1"/>
  <c r="O13" i="5"/>
  <c r="L13" i="5"/>
  <c r="M13" i="5" s="1"/>
  <c r="P13" i="5" s="1"/>
  <c r="I13" i="5"/>
  <c r="F13" i="5"/>
  <c r="G13" i="5" s="1"/>
  <c r="O12" i="5"/>
  <c r="L12" i="5"/>
  <c r="M12" i="5" s="1"/>
  <c r="P12" i="5" s="1"/>
  <c r="I12" i="5"/>
  <c r="F12" i="5"/>
  <c r="G12" i="5" s="1"/>
  <c r="O11" i="5"/>
  <c r="L11" i="5"/>
  <c r="M11" i="5" s="1"/>
  <c r="P11" i="5" s="1"/>
  <c r="I11" i="5"/>
  <c r="G11" i="5"/>
  <c r="F11" i="5"/>
  <c r="O10" i="5"/>
  <c r="L10" i="5"/>
  <c r="M10" i="5" s="1"/>
  <c r="P10" i="5" s="1"/>
  <c r="I10" i="5"/>
  <c r="F10" i="5"/>
  <c r="G10" i="5" s="1"/>
  <c r="O9" i="5"/>
  <c r="L9" i="5"/>
  <c r="M9" i="5" s="1"/>
  <c r="P9" i="5" s="1"/>
  <c r="I9" i="5"/>
  <c r="G9" i="5"/>
  <c r="F9" i="5"/>
  <c r="O8" i="5"/>
  <c r="L8" i="5"/>
  <c r="M8" i="5" s="1"/>
  <c r="P8" i="5" s="1"/>
  <c r="I8" i="5"/>
  <c r="F8" i="5"/>
  <c r="G8" i="5" s="1"/>
  <c r="O7" i="5"/>
  <c r="L7" i="5"/>
  <c r="M7" i="5" s="1"/>
  <c r="P7" i="5" s="1"/>
  <c r="I7" i="5"/>
  <c r="F7" i="5"/>
  <c r="G7" i="5" s="1"/>
  <c r="I38" i="4"/>
  <c r="E38" i="4"/>
  <c r="J37" i="4"/>
  <c r="O36" i="4"/>
  <c r="L36" i="4"/>
  <c r="M36" i="4" s="1"/>
  <c r="I36" i="4"/>
  <c r="F36" i="4"/>
  <c r="G36" i="4" s="1"/>
  <c r="O35" i="4"/>
  <c r="L35" i="4"/>
  <c r="M35" i="4" s="1"/>
  <c r="I35" i="4"/>
  <c r="F35" i="4"/>
  <c r="G35" i="4" s="1"/>
  <c r="O34" i="4"/>
  <c r="L34" i="4"/>
  <c r="M34" i="4" s="1"/>
  <c r="I34" i="4"/>
  <c r="F34" i="4"/>
  <c r="G34" i="4" s="1"/>
  <c r="O33" i="4"/>
  <c r="L33" i="4"/>
  <c r="M33" i="4" s="1"/>
  <c r="I33" i="4"/>
  <c r="F33" i="4"/>
  <c r="G33" i="4" s="1"/>
  <c r="O32" i="4"/>
  <c r="L32" i="4"/>
  <c r="M32" i="4" s="1"/>
  <c r="I32" i="4"/>
  <c r="F32" i="4"/>
  <c r="G32" i="4" s="1"/>
  <c r="O31" i="4"/>
  <c r="L31" i="4"/>
  <c r="M31" i="4" s="1"/>
  <c r="I31" i="4"/>
  <c r="F31" i="4"/>
  <c r="G31" i="4" s="1"/>
  <c r="O30" i="4"/>
  <c r="L30" i="4"/>
  <c r="M30" i="4" s="1"/>
  <c r="I30" i="4"/>
  <c r="F30" i="4"/>
  <c r="G30" i="4" s="1"/>
  <c r="O29" i="4"/>
  <c r="L29" i="4"/>
  <c r="M29" i="4" s="1"/>
  <c r="I29" i="4"/>
  <c r="F29" i="4"/>
  <c r="G29" i="4" s="1"/>
  <c r="O28" i="4"/>
  <c r="L28" i="4"/>
  <c r="M28" i="4" s="1"/>
  <c r="I28" i="4"/>
  <c r="F28" i="4"/>
  <c r="G28" i="4" s="1"/>
  <c r="O27" i="4"/>
  <c r="L27" i="4"/>
  <c r="M27" i="4" s="1"/>
  <c r="I27" i="4"/>
  <c r="F27" i="4"/>
  <c r="G27" i="4" s="1"/>
  <c r="O26" i="4"/>
  <c r="L26" i="4"/>
  <c r="M26" i="4" s="1"/>
  <c r="I26" i="4"/>
  <c r="F26" i="4"/>
  <c r="G26" i="4" s="1"/>
  <c r="O25" i="4"/>
  <c r="L25" i="4"/>
  <c r="M25" i="4" s="1"/>
  <c r="I25" i="4"/>
  <c r="F25" i="4"/>
  <c r="G25" i="4" s="1"/>
  <c r="O24" i="4"/>
  <c r="L24" i="4"/>
  <c r="M24" i="4" s="1"/>
  <c r="I24" i="4"/>
  <c r="F24" i="4"/>
  <c r="G24" i="4" s="1"/>
  <c r="O23" i="4"/>
  <c r="L23" i="4"/>
  <c r="M23" i="4" s="1"/>
  <c r="I23" i="4"/>
  <c r="F23" i="4"/>
  <c r="G23" i="4" s="1"/>
  <c r="O22" i="4"/>
  <c r="L22" i="4"/>
  <c r="M22" i="4" s="1"/>
  <c r="I22" i="4"/>
  <c r="F22" i="4"/>
  <c r="G22" i="4" s="1"/>
  <c r="O21" i="4"/>
  <c r="L21" i="4"/>
  <c r="M21" i="4" s="1"/>
  <c r="I21" i="4"/>
  <c r="F21" i="4"/>
  <c r="G21" i="4" s="1"/>
  <c r="O20" i="4"/>
  <c r="L20" i="4"/>
  <c r="M20" i="4" s="1"/>
  <c r="I20" i="4"/>
  <c r="F20" i="4"/>
  <c r="G20" i="4" s="1"/>
  <c r="O19" i="4"/>
  <c r="L19" i="4"/>
  <c r="M19" i="4" s="1"/>
  <c r="I19" i="4"/>
  <c r="F19" i="4"/>
  <c r="G19" i="4" s="1"/>
  <c r="O18" i="4"/>
  <c r="L18" i="4"/>
  <c r="M18" i="4" s="1"/>
  <c r="P18" i="4" s="1"/>
  <c r="I18" i="4"/>
  <c r="F18" i="4"/>
  <c r="G18" i="4" s="1"/>
  <c r="O17" i="4"/>
  <c r="L17" i="4"/>
  <c r="M17" i="4" s="1"/>
  <c r="I17" i="4"/>
  <c r="F17" i="4"/>
  <c r="G17" i="4" s="1"/>
  <c r="O16" i="4"/>
  <c r="L16" i="4"/>
  <c r="M16" i="4" s="1"/>
  <c r="P16" i="4" s="1"/>
  <c r="I16" i="4"/>
  <c r="F16" i="4"/>
  <c r="G16" i="4" s="1"/>
  <c r="O15" i="4"/>
  <c r="L15" i="4"/>
  <c r="M15" i="4" s="1"/>
  <c r="I15" i="4"/>
  <c r="F15" i="4"/>
  <c r="G15" i="4" s="1"/>
  <c r="O14" i="4"/>
  <c r="L14" i="4"/>
  <c r="M14" i="4" s="1"/>
  <c r="P14" i="4" s="1"/>
  <c r="I14" i="4"/>
  <c r="F14" i="4"/>
  <c r="G14" i="4" s="1"/>
  <c r="O13" i="4"/>
  <c r="L13" i="4"/>
  <c r="M13" i="4" s="1"/>
  <c r="I13" i="4"/>
  <c r="F13" i="4"/>
  <c r="G13" i="4" s="1"/>
  <c r="O12" i="4"/>
  <c r="L12" i="4"/>
  <c r="M12" i="4" s="1"/>
  <c r="P12" i="4" s="1"/>
  <c r="I12" i="4"/>
  <c r="F12" i="4"/>
  <c r="G12" i="4" s="1"/>
  <c r="O11" i="4"/>
  <c r="L11" i="4"/>
  <c r="M11" i="4" s="1"/>
  <c r="I11" i="4"/>
  <c r="F11" i="4"/>
  <c r="G11" i="4" s="1"/>
  <c r="O10" i="4"/>
  <c r="L10" i="4"/>
  <c r="M10" i="4" s="1"/>
  <c r="P10" i="4" s="1"/>
  <c r="I10" i="4"/>
  <c r="F10" i="4"/>
  <c r="G10" i="4" s="1"/>
  <c r="O9" i="4"/>
  <c r="L9" i="4"/>
  <c r="M9" i="4" s="1"/>
  <c r="I9" i="4"/>
  <c r="F9" i="4"/>
  <c r="G9" i="4" s="1"/>
  <c r="O8" i="4"/>
  <c r="L8" i="4"/>
  <c r="M8" i="4" s="1"/>
  <c r="P8" i="4" s="1"/>
  <c r="I8" i="4"/>
  <c r="F8" i="4"/>
  <c r="G8" i="4" s="1"/>
  <c r="G38" i="4" s="1"/>
  <c r="O7" i="4"/>
  <c r="L7" i="4"/>
  <c r="M7" i="4" s="1"/>
  <c r="I7" i="4"/>
  <c r="F7" i="4"/>
  <c r="G7" i="4" s="1"/>
  <c r="K37" i="3"/>
  <c r="E38" i="3"/>
  <c r="I38" i="3"/>
  <c r="P17" i="9" l="1"/>
  <c r="P9" i="9"/>
  <c r="P11" i="9"/>
  <c r="P24" i="9"/>
  <c r="P30" i="9"/>
  <c r="P32" i="9"/>
  <c r="P11" i="12"/>
  <c r="N11" i="12"/>
  <c r="K11" i="12"/>
  <c r="M11" i="12"/>
  <c r="F11" i="12"/>
  <c r="L11" i="12"/>
  <c r="J11" i="12"/>
  <c r="G11" i="12"/>
  <c r="P13" i="9"/>
  <c r="P34" i="9"/>
  <c r="P29" i="9"/>
  <c r="P28" i="9"/>
  <c r="P26" i="9"/>
  <c r="P22" i="9"/>
  <c r="P20" i="9"/>
  <c r="P12" i="9"/>
  <c r="P10" i="9"/>
  <c r="P7" i="9"/>
  <c r="P36" i="9"/>
  <c r="P18" i="9"/>
  <c r="P16" i="9"/>
  <c r="P15" i="9"/>
  <c r="P14" i="9"/>
  <c r="P8" i="9"/>
  <c r="J38" i="8"/>
  <c r="G38" i="7"/>
  <c r="J38" i="7" s="1"/>
  <c r="J22" i="5"/>
  <c r="J19" i="5"/>
  <c r="J24" i="5"/>
  <c r="J32" i="5"/>
  <c r="J21" i="5"/>
  <c r="J10" i="5"/>
  <c r="J18" i="5"/>
  <c r="J26" i="5"/>
  <c r="J34" i="5"/>
  <c r="G38" i="5"/>
  <c r="J38" i="5" s="1"/>
  <c r="J11" i="5"/>
  <c r="J35" i="5"/>
  <c r="J8" i="5"/>
  <c r="J13" i="5"/>
  <c r="J29" i="5"/>
  <c r="J7" i="5"/>
  <c r="J15" i="5"/>
  <c r="J23" i="5"/>
  <c r="J31" i="5"/>
  <c r="J36" i="5"/>
  <c r="J14" i="5"/>
  <c r="J30" i="5"/>
  <c r="J27" i="5"/>
  <c r="J16" i="5"/>
  <c r="J12" i="5"/>
  <c r="J20" i="5"/>
  <c r="J28" i="5"/>
  <c r="J9" i="5"/>
  <c r="J17" i="5"/>
  <c r="J25" i="5"/>
  <c r="J33" i="5"/>
  <c r="J26" i="4"/>
  <c r="J28" i="4"/>
  <c r="J30" i="4"/>
  <c r="J32" i="4"/>
  <c r="J34" i="4"/>
  <c r="J36" i="4"/>
  <c r="G38" i="6"/>
  <c r="J38" i="6" s="1"/>
  <c r="P20" i="4"/>
  <c r="P22" i="4"/>
  <c r="P24" i="4"/>
  <c r="P26" i="4"/>
  <c r="P28" i="4"/>
  <c r="P30" i="4"/>
  <c r="P32" i="4"/>
  <c r="P34" i="4"/>
  <c r="P36" i="4"/>
  <c r="P7" i="4"/>
  <c r="P9" i="4"/>
  <c r="P11" i="4"/>
  <c r="P13" i="4"/>
  <c r="P15" i="4"/>
  <c r="P17" i="4"/>
  <c r="P19" i="4"/>
  <c r="P21" i="4"/>
  <c r="P23" i="4"/>
  <c r="P25" i="4"/>
  <c r="P27" i="4"/>
  <c r="P29" i="4"/>
  <c r="P31" i="4"/>
  <c r="P33" i="4"/>
  <c r="P35" i="4"/>
  <c r="J10" i="4"/>
  <c r="J24" i="4"/>
  <c r="J20" i="4"/>
  <c r="J12" i="4"/>
  <c r="J22" i="4"/>
  <c r="J14" i="4"/>
  <c r="J18" i="4"/>
  <c r="J7" i="4"/>
  <c r="J9" i="4"/>
  <c r="J11" i="4"/>
  <c r="J13" i="4"/>
  <c r="J15" i="4"/>
  <c r="J17" i="4"/>
  <c r="J19" i="4"/>
  <c r="J21" i="4"/>
  <c r="J23" i="4"/>
  <c r="J25" i="4"/>
  <c r="J27" i="4"/>
  <c r="J29" i="4"/>
  <c r="J31" i="4"/>
  <c r="J33" i="4"/>
  <c r="J35" i="4"/>
  <c r="J8" i="4"/>
  <c r="J16" i="4"/>
  <c r="J38" i="4"/>
  <c r="J38" i="3"/>
  <c r="I11" i="12" l="1"/>
  <c r="H38" i="3"/>
  <c r="K38" i="3" s="1"/>
  <c r="G38" i="3"/>
  <c r="O11" i="12"/>
  <c r="H11" i="12"/>
  <c r="M7" i="12"/>
  <c r="J7" i="10"/>
  <c r="G7" i="10"/>
</calcChain>
</file>

<file path=xl/sharedStrings.xml><?xml version="1.0" encoding="utf-8"?>
<sst xmlns="http://schemas.openxmlformats.org/spreadsheetml/2006/main" count="1096" uniqueCount="118">
  <si>
    <t>REF URL</t>
  </si>
  <si>
    <t>Decription</t>
  </si>
  <si>
    <t>Value</t>
  </si>
  <si>
    <t>https://www.census.gov/quickfacts/fact/table/TN/PST045222</t>
  </si>
  <si>
    <t>Crimes Against Children</t>
  </si>
  <si>
    <t xml:space="preserve">Data Breach </t>
  </si>
  <si>
    <t>Unit</t>
  </si>
  <si>
    <t>Population Estimate</t>
  </si>
  <si>
    <t>Extortion</t>
  </si>
  <si>
    <t>Malware</t>
  </si>
  <si>
    <t>Personal Data Breach</t>
  </si>
  <si>
    <t>Phishing</t>
  </si>
  <si>
    <t>Ransomware</t>
  </si>
  <si>
    <t>Spoofing</t>
  </si>
  <si>
    <t>Threats of Violence</t>
  </si>
  <si>
    <t>Raw Value</t>
  </si>
  <si>
    <t>Value/State Population</t>
  </si>
  <si>
    <t>Chattanooga Population in 2022</t>
  </si>
  <si>
    <t>https://www.census.gov/quickfacts/chattanoogacitytennessee</t>
  </si>
  <si>
    <t>(Victim Count/State Population ) * City Population</t>
  </si>
  <si>
    <t>Estimated In-City Victims, 2022, As if IC3 Victim Complaint</t>
  </si>
  <si>
    <t>State Victim Count</t>
  </si>
  <si>
    <t>https://www.ic3.gov/Media/PDF/AnnualReport/2022State/StateReport.aspx#?s=47</t>
  </si>
  <si>
    <t>Business Email Compromise</t>
  </si>
  <si>
    <t>State Victim Loss</t>
  </si>
  <si>
    <t>Advanced Fee</t>
  </si>
  <si>
    <t>Botnet</t>
  </si>
  <si>
    <t>Confidence/Romance</t>
  </si>
  <si>
    <t>Check Fraud</t>
  </si>
  <si>
    <t>Employment</t>
  </si>
  <si>
    <t>Government Impersonation</t>
  </si>
  <si>
    <t>Harassing/Stalking</t>
  </si>
  <si>
    <t>IPR/Counterfeit</t>
  </si>
  <si>
    <t>Identity Theft</t>
  </si>
  <si>
    <t>Investment</t>
  </si>
  <si>
    <t>Lottery/Sweepstakes/Inheritance</t>
  </si>
  <si>
    <t>NCDF</t>
  </si>
  <si>
    <t>NTOC</t>
  </si>
  <si>
    <t>No Lead Value</t>
  </si>
  <si>
    <t>Non-Payable/Non-Delivery</t>
  </si>
  <si>
    <t>Other</t>
  </si>
  <si>
    <t>Overpayment</t>
  </si>
  <si>
    <t>Real Estate</t>
  </si>
  <si>
    <t>SIM Swap</t>
  </si>
  <si>
    <t>Tech Support</t>
  </si>
  <si>
    <t>Even Loss per State Victim Count</t>
  </si>
  <si>
    <t>Projected In-City Victim Loss</t>
  </si>
  <si>
    <t>Estimated In-City Victims * Even Loss per State Victim</t>
  </si>
  <si>
    <t>State Subject (Perpetrator) Count</t>
  </si>
  <si>
    <t>State Subject Losses (Perpetrator gained X dollars)</t>
  </si>
  <si>
    <t>Subject (Perpetrator) to State Population</t>
  </si>
  <si>
    <t>Estimated Subject to City Population</t>
  </si>
  <si>
    <t xml:space="preserve">Estimated In-City Subject Losses (Perpetrator Take from Victim) </t>
  </si>
  <si>
    <t>Even Loss per State Subject</t>
  </si>
  <si>
    <t>Subject to City * Even Loss per State Subject</t>
  </si>
  <si>
    <t>Chattanooga Population in 2021</t>
  </si>
  <si>
    <t>TN Population in 20</t>
  </si>
  <si>
    <t>Chattanooga Population in 20</t>
  </si>
  <si>
    <t>https://www.census.gov/data/tables/time-series/demo/popest/2020s-total-cities-and-towns.html</t>
  </si>
  <si>
    <t>Chattanooga Population in 2020</t>
  </si>
  <si>
    <t xml:space="preserve">Some category names changed from 2022 to 2021.  </t>
  </si>
  <si>
    <t>If the names didn't line up with the later year, I dropped the data.</t>
  </si>
  <si>
    <t xml:space="preserve">A zero value on the input means 0; </t>
  </si>
  <si>
    <t>Trying to establish figures of confidence intervals.</t>
  </si>
  <si>
    <t>Reported harassment and threats of violence together</t>
  </si>
  <si>
    <t>Put the value under threats of violence</t>
  </si>
  <si>
    <t>Looking at these numbers on local losses,</t>
  </si>
  <si>
    <t xml:space="preserve">It seems that in order to make millions, </t>
  </si>
  <si>
    <t>cybercriminals might have to work globally.</t>
  </si>
  <si>
    <t>Chattanooga Population in 2019</t>
  </si>
  <si>
    <t>https://www2.census.gov/programs-surveys/popest/tables/2010-2019/cities/totals/SUB-IP-EST2019-ANNRES-47.xlsx</t>
  </si>
  <si>
    <t>Stalking/Harassment and Threats of violence were combined with Terrorism</t>
  </si>
  <si>
    <t>Shown here as Threats of Violence, as with others.</t>
  </si>
  <si>
    <t>Harassment/Stalking/Threats of Violence/Terrorism combined</t>
  </si>
  <si>
    <t>Chattanooga Population in 2017</t>
  </si>
  <si>
    <t>Chattanooga Population in 2018</t>
  </si>
  <si>
    <t>Harassment, Stalking, Threats of Violence and Terrorism all combined</t>
  </si>
  <si>
    <t>Had 2 Terrorism this year</t>
  </si>
  <si>
    <t>Chattanooga Population in 2016</t>
  </si>
  <si>
    <t>Malware + Virus</t>
  </si>
  <si>
    <t>Year</t>
  </si>
  <si>
    <t>City Population</t>
  </si>
  <si>
    <t>Crimes</t>
  </si>
  <si>
    <t>System Intrusion Group</t>
  </si>
  <si>
    <t>Data Breach</t>
  </si>
  <si>
    <t>Threat to Personnel via Network</t>
  </si>
  <si>
    <t>Threats/Stalking/Harassment/Terrorism</t>
  </si>
  <si>
    <t>Theft of Data via Network</t>
  </si>
  <si>
    <t>Identify Theft</t>
  </si>
  <si>
    <t>BEC</t>
  </si>
  <si>
    <t>Column1</t>
  </si>
  <si>
    <t>Column2</t>
  </si>
  <si>
    <t>Column3</t>
  </si>
  <si>
    <t>State IC3 Data</t>
  </si>
  <si>
    <t>Average deviation</t>
  </si>
  <si>
    <t>Projected population</t>
  </si>
  <si>
    <t>Projected population High</t>
  </si>
  <si>
    <t>Projected poplulation Low</t>
  </si>
  <si>
    <t>Chance of decrease</t>
  </si>
  <si>
    <t>(Victim Count/State Population ) * City Population Rounded Down</t>
  </si>
  <si>
    <t>CA Population in 2016</t>
  </si>
  <si>
    <t>CA Population in 2017</t>
  </si>
  <si>
    <t>CA Population in 2018</t>
  </si>
  <si>
    <t>CA Population in 2019</t>
  </si>
  <si>
    <t>CA Population in 2020</t>
  </si>
  <si>
    <t>CA Population in 2021</t>
  </si>
  <si>
    <t>CA Population in 2022</t>
  </si>
  <si>
    <t>https://www.ic3.gov/annualreport/Reports/2016State/?s=6</t>
  </si>
  <si>
    <t>https://www.ic3.gov/annualreport/Reports/2017State/?s=6</t>
  </si>
  <si>
    <t>https://www.ic3.gov/annualreport/Reports/2018State/?s=6</t>
  </si>
  <si>
    <t>https://www.ic3.gov/annualreport/Reports/2019State/?s=6</t>
  </si>
  <si>
    <t>https://www.ic3.gov/annualreport/Reports/2020State/?s=6</t>
  </si>
  <si>
    <t>https://www.ic3.gov/annualreport/Reports/2021State/?s=6</t>
  </si>
  <si>
    <t>Threats of Violence and Harrassment combined</t>
  </si>
  <si>
    <t>https://fred.stlouisfed.org/series/CAPOP#</t>
  </si>
  <si>
    <t>Check Fraud/Credit Card Fraud</t>
  </si>
  <si>
    <t>Credit Card/Check Fraud</t>
  </si>
  <si>
    <t>Harassment/Stalking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</si>
</sst>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0000000000000000000000000000"/>
    <numFmt numFmtId="165" formatCode="0.00000000000000000000"/>
    <numFmt numFmtId="166" formatCode="&quot;$&quot;#,##0.00"/>
    <numFmt numFmtId="167" formatCode="&quot;$&quot;#,##0"/>
    <numFmt numFmtId="170" formatCode="#,##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6" fontId="0" fillId="0" borderId="0" xfId="0" applyNumberFormat="1"/>
    <xf numFmtId="44" fontId="0" fillId="0" borderId="0" xfId="0" applyNumberFormat="1"/>
    <xf numFmtId="6" fontId="0" fillId="0" borderId="0" xfId="0" applyNumberFormat="1" applyAlignment="1">
      <alignment vertical="center" wrapText="1"/>
    </xf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167" fontId="0" fillId="0" borderId="0" xfId="0" applyNumberFormat="1"/>
    <xf numFmtId="167" fontId="0" fillId="0" borderId="0" xfId="0" applyNumberFormat="1" applyAlignment="1">
      <alignment vertical="center" wrapText="1"/>
    </xf>
    <xf numFmtId="0" fontId="2" fillId="0" borderId="0" xfId="1"/>
    <xf numFmtId="3" fontId="0" fillId="0" borderId="1" xfId="0" applyNumberFormat="1" applyBorder="1" applyAlignment="1" applyProtection="1">
      <alignment horizontal="right"/>
      <protection locked="0"/>
    </xf>
    <xf numFmtId="164" fontId="2" fillId="0" borderId="0" xfId="1" applyNumberFormat="1"/>
    <xf numFmtId="3" fontId="3" fillId="0" borderId="1" xfId="0" applyNumberFormat="1" applyFont="1" applyBorder="1" applyAlignment="1" applyProtection="1">
      <alignment horizontal="right"/>
      <protection locked="0"/>
    </xf>
    <xf numFmtId="8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4" fontId="0" fillId="0" borderId="0" xfId="0" applyNumberFormat="1"/>
    <xf numFmtId="166" fontId="0" fillId="0" borderId="0" xfId="0" applyNumberFormat="1" applyAlignment="1">
      <alignment vertical="center" wrapText="1"/>
    </xf>
    <xf numFmtId="5" fontId="0" fillId="0" borderId="0" xfId="0" applyNumberFormat="1"/>
    <xf numFmtId="170" fontId="0" fillId="0" borderId="0" xfId="0" applyNumberFormat="1"/>
  </cellXfs>
  <cellStyles count="2">
    <cellStyle name="Hyperlink" xfId="1" builtinId="8"/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Graphs'!$I$4</c:f>
              <c:strCache>
                <c:ptCount val="1"/>
                <c:pt idx="0">
                  <c:v>Personal Data Breach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Graphs'!$I$5:$I$11</c:f>
              <c:numCache>
                <c:formatCode>#,##0</c:formatCode>
                <c:ptCount val="7"/>
                <c:pt idx="0">
                  <c:v>429</c:v>
                </c:pt>
                <c:pt idx="1">
                  <c:v>490</c:v>
                </c:pt>
                <c:pt idx="2">
                  <c:v>697</c:v>
                </c:pt>
                <c:pt idx="3">
                  <c:v>507</c:v>
                </c:pt>
                <c:pt idx="4">
                  <c:v>714</c:v>
                </c:pt>
                <c:pt idx="5">
                  <c:v>742</c:v>
                </c:pt>
                <c:pt idx="6">
                  <c:v>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FF-45CB-9867-05D5A59FB0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77766848"/>
        <c:axId val="968305248"/>
      </c:lineChart>
      <c:catAx>
        <c:axId val="17776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305248"/>
        <c:crosses val="autoZero"/>
        <c:auto val="1"/>
        <c:lblAlgn val="ctr"/>
        <c:lblOffset val="100"/>
        <c:noMultiLvlLbl val="0"/>
      </c:catAx>
      <c:valAx>
        <c:axId val="9683052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77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Graphs'!$J$4</c:f>
              <c:strCache>
                <c:ptCount val="1"/>
                <c:pt idx="0">
                  <c:v>Malware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Graphs'!$J$5:$J$11</c:f>
              <c:numCache>
                <c:formatCode>#,##0</c:formatCode>
                <c:ptCount val="7"/>
                <c:pt idx="0">
                  <c:v>60</c:v>
                </c:pt>
                <c:pt idx="1">
                  <c:v>43</c:v>
                </c:pt>
                <c:pt idx="2">
                  <c:v>23</c:v>
                </c:pt>
                <c:pt idx="3">
                  <c:v>46</c:v>
                </c:pt>
                <c:pt idx="4">
                  <c:v>18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A-40E0-B085-91174CDCA3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96353552"/>
        <c:axId val="1053719088"/>
      </c:lineChart>
      <c:catAx>
        <c:axId val="59635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719088"/>
        <c:crosses val="autoZero"/>
        <c:auto val="1"/>
        <c:lblAlgn val="ctr"/>
        <c:lblOffset val="100"/>
        <c:noMultiLvlLbl val="0"/>
      </c:catAx>
      <c:valAx>
        <c:axId val="105371908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59635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Graphs'!$K$4</c:f>
              <c:strCache>
                <c:ptCount val="1"/>
                <c:pt idx="0">
                  <c:v>Phishing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Graphs'!$K$5:$K$11</c:f>
              <c:numCache>
                <c:formatCode>#,##0</c:formatCode>
                <c:ptCount val="7"/>
                <c:pt idx="0">
                  <c:v>298</c:v>
                </c:pt>
                <c:pt idx="1">
                  <c:v>347</c:v>
                </c:pt>
                <c:pt idx="2">
                  <c:v>311</c:v>
                </c:pt>
                <c:pt idx="3">
                  <c:v>310</c:v>
                </c:pt>
                <c:pt idx="4">
                  <c:v>379</c:v>
                </c:pt>
                <c:pt idx="5">
                  <c:v>438</c:v>
                </c:pt>
                <c:pt idx="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2-4733-9FEE-8087B3DDB6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06120496"/>
        <c:axId val="1084323936"/>
      </c:lineChart>
      <c:catAx>
        <c:axId val="60612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23936"/>
        <c:crosses val="autoZero"/>
        <c:auto val="1"/>
        <c:lblAlgn val="ctr"/>
        <c:lblOffset val="100"/>
        <c:noMultiLvlLbl val="0"/>
      </c:catAx>
      <c:valAx>
        <c:axId val="108432393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0612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Graphs'!$L$4</c:f>
              <c:strCache>
                <c:ptCount val="1"/>
                <c:pt idx="0">
                  <c:v>Ransomware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Graphs'!$L$5:$L$11</c:f>
              <c:numCache>
                <c:formatCode>#,##0</c:formatCode>
                <c:ptCount val="7"/>
                <c:pt idx="0">
                  <c:v>49</c:v>
                </c:pt>
                <c:pt idx="1">
                  <c:v>33</c:v>
                </c:pt>
                <c:pt idx="2">
                  <c:v>20</c:v>
                </c:pt>
                <c:pt idx="3">
                  <c:v>34</c:v>
                </c:pt>
                <c:pt idx="4">
                  <c:v>34</c:v>
                </c:pt>
                <c:pt idx="5">
                  <c:v>47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8-4BD7-96E9-F7240573F8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38076656"/>
        <c:axId val="1089729840"/>
      </c:lineChart>
      <c:catAx>
        <c:axId val="93807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29840"/>
        <c:crosses val="autoZero"/>
        <c:auto val="1"/>
        <c:lblAlgn val="ctr"/>
        <c:lblOffset val="100"/>
        <c:noMultiLvlLbl val="0"/>
      </c:catAx>
      <c:valAx>
        <c:axId val="108972984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938076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System Intrusion</a:t>
            </a:r>
            <a:r>
              <a:rPr lang="en-US" baseline="0"/>
              <a:t> Crime Group State IC3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'State Summary Graphs'!$H$4</c:f>
              <c:strCache>
                <c:ptCount val="1"/>
                <c:pt idx="0">
                  <c:v>Data Breach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Graphs'!$H$5:$H$11</c:f>
              <c:numCache>
                <c:formatCode>#,##0</c:formatCode>
                <c:ptCount val="7"/>
                <c:pt idx="0">
                  <c:v>53</c:v>
                </c:pt>
                <c:pt idx="1">
                  <c:v>53</c:v>
                </c:pt>
                <c:pt idx="2">
                  <c:v>28</c:v>
                </c:pt>
                <c:pt idx="3">
                  <c:v>21</c:v>
                </c:pt>
                <c:pt idx="4">
                  <c:v>29</c:v>
                </c:pt>
                <c:pt idx="5">
                  <c:v>21</c:v>
                </c:pt>
                <c:pt idx="6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85-45B4-BAF3-C24E8EC76A22}"/>
            </c:ext>
          </c:extLst>
        </c:ser>
        <c:ser>
          <c:idx val="1"/>
          <c:order val="1"/>
          <c:tx>
            <c:strRef>
              <c:f>'State Summary Graphs'!$I$4</c:f>
              <c:strCache>
                <c:ptCount val="1"/>
                <c:pt idx="0">
                  <c:v>Personal Data Breach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'State Summary Graphs'!$B$5:$B$11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'State Summary Graphs'!$I$5:$I$11</c:f>
              <c:numCache>
                <c:formatCode>#,##0</c:formatCode>
                <c:ptCount val="7"/>
                <c:pt idx="0">
                  <c:v>429</c:v>
                </c:pt>
                <c:pt idx="1">
                  <c:v>490</c:v>
                </c:pt>
                <c:pt idx="2">
                  <c:v>697</c:v>
                </c:pt>
                <c:pt idx="3">
                  <c:v>507</c:v>
                </c:pt>
                <c:pt idx="4">
                  <c:v>714</c:v>
                </c:pt>
                <c:pt idx="5">
                  <c:v>742</c:v>
                </c:pt>
                <c:pt idx="6">
                  <c:v>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85-45B4-BAF3-C24E8EC76A22}"/>
            </c:ext>
          </c:extLst>
        </c:ser>
        <c:ser>
          <c:idx val="2"/>
          <c:order val="2"/>
          <c:tx>
            <c:strRef>
              <c:f>'State Summary Graphs'!$J$4</c:f>
              <c:strCache>
                <c:ptCount val="1"/>
                <c:pt idx="0">
                  <c:v>Malware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3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Graphs'!$J$5:$J$11</c:f>
              <c:numCache>
                <c:formatCode>#,##0</c:formatCode>
                <c:ptCount val="7"/>
                <c:pt idx="0">
                  <c:v>60</c:v>
                </c:pt>
                <c:pt idx="1">
                  <c:v>43</c:v>
                </c:pt>
                <c:pt idx="2">
                  <c:v>23</c:v>
                </c:pt>
                <c:pt idx="3">
                  <c:v>46</c:v>
                </c:pt>
                <c:pt idx="4">
                  <c:v>18</c:v>
                </c:pt>
                <c:pt idx="5">
                  <c:v>11</c:v>
                </c:pt>
                <c:pt idx="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85-45B4-BAF3-C24E8EC76A22}"/>
            </c:ext>
          </c:extLst>
        </c:ser>
        <c:ser>
          <c:idx val="3"/>
          <c:order val="3"/>
          <c:tx>
            <c:strRef>
              <c:f>'State Summary Graphs'!$K$4</c:f>
              <c:strCache>
                <c:ptCount val="1"/>
                <c:pt idx="0">
                  <c:v>Phishing</c:v>
                </c:pt>
              </c:strCache>
            </c:strRef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4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Graphs'!$K$5:$K$11</c:f>
              <c:numCache>
                <c:formatCode>#,##0</c:formatCode>
                <c:ptCount val="7"/>
                <c:pt idx="0">
                  <c:v>298</c:v>
                </c:pt>
                <c:pt idx="1">
                  <c:v>347</c:v>
                </c:pt>
                <c:pt idx="2">
                  <c:v>311</c:v>
                </c:pt>
                <c:pt idx="3">
                  <c:v>310</c:v>
                </c:pt>
                <c:pt idx="4">
                  <c:v>379</c:v>
                </c:pt>
                <c:pt idx="5">
                  <c:v>438</c:v>
                </c:pt>
                <c:pt idx="6">
                  <c:v>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785-45B4-BAF3-C24E8EC76A22}"/>
            </c:ext>
          </c:extLst>
        </c:ser>
        <c:ser>
          <c:idx val="4"/>
          <c:order val="4"/>
          <c:tx>
            <c:strRef>
              <c:f>'State Summary Graphs'!$L$4</c:f>
              <c:strCache>
                <c:ptCount val="1"/>
                <c:pt idx="0">
                  <c:v>Ransomware</c:v>
                </c:pt>
              </c:strCache>
            </c:strRef>
          </c:tx>
          <c:spPr>
            <a:ln w="317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'State Summary Graphs'!$L$5:$L$11</c:f>
              <c:numCache>
                <c:formatCode>#,##0</c:formatCode>
                <c:ptCount val="7"/>
                <c:pt idx="0">
                  <c:v>49</c:v>
                </c:pt>
                <c:pt idx="1">
                  <c:v>33</c:v>
                </c:pt>
                <c:pt idx="2">
                  <c:v>20</c:v>
                </c:pt>
                <c:pt idx="3">
                  <c:v>34</c:v>
                </c:pt>
                <c:pt idx="4">
                  <c:v>34</c:v>
                </c:pt>
                <c:pt idx="5">
                  <c:v>47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85-45B4-BAF3-C24E8EC76A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29287856"/>
        <c:axId val="1084320464"/>
      </c:lineChart>
      <c:catAx>
        <c:axId val="62928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20464"/>
        <c:crosses val="autoZero"/>
        <c:auto val="1"/>
        <c:lblAlgn val="ctr"/>
        <c:lblOffset val="100"/>
        <c:noMultiLvlLbl val="0"/>
      </c:catAx>
      <c:valAx>
        <c:axId val="108432046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62928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13</xdr:row>
      <xdr:rowOff>125730</xdr:rowOff>
    </xdr:from>
    <xdr:to>
      <xdr:col>8</xdr:col>
      <xdr:colOff>845820</xdr:colOff>
      <xdr:row>28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7537D5-114E-CD00-E184-16C5CBA80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205740</xdr:colOff>
      <xdr:row>13</xdr:row>
      <xdr:rowOff>125730</xdr:rowOff>
    </xdr:from>
    <xdr:to>
      <xdr:col>14</xdr:col>
      <xdr:colOff>899160</xdr:colOff>
      <xdr:row>28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D6DBF0-76D4-8573-197C-C78FEA506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289560</xdr:colOff>
      <xdr:row>29</xdr:row>
      <xdr:rowOff>163830</xdr:rowOff>
    </xdr:from>
    <xdr:to>
      <xdr:col>8</xdr:col>
      <xdr:colOff>853440</xdr:colOff>
      <xdr:row>44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8A8AA1-7994-7732-F620-4FEF6DC63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198120</xdr:colOff>
      <xdr:row>30</xdr:row>
      <xdr:rowOff>19050</xdr:rowOff>
    </xdr:from>
    <xdr:to>
      <xdr:col>14</xdr:col>
      <xdr:colOff>922020</xdr:colOff>
      <xdr:row>45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0563A2-DAD7-5106-533C-64B75CD6D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243840</xdr:colOff>
      <xdr:row>46</xdr:row>
      <xdr:rowOff>34290</xdr:rowOff>
    </xdr:from>
    <xdr:to>
      <xdr:col>12</xdr:col>
      <xdr:colOff>342900</xdr:colOff>
      <xdr:row>71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4099F6-E12D-0A5E-B06D-70438D766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CD31F2-CEC9-4B23-AC8B-F2976B12A1A4}" name="Table1" displayName="Table1" ref="B4:R11" totalsRowShown="0">
  <autoFilter ref="B4:R11" xr:uid="{88CD31F2-CEC9-4B23-AC8B-F2976B12A1A4}"/>
  <sortState xmlns:xlrd2="http://schemas.microsoft.com/office/spreadsheetml/2017/richdata2" ref="B5:R11">
    <sortCondition ref="B4:B11"/>
  </sortState>
  <tableColumns count="17">
    <tableColumn id="1" xr3:uid="{14C994A4-8D79-4786-BA91-A2946038278C}" name="Year"/>
    <tableColumn id="2" xr3:uid="{ED4EA81A-5169-4C2F-A9A0-5C766F683720}" name="City Population" dataDxfId="11"/>
    <tableColumn id="3" xr3:uid="{7D044D7F-F0B8-4BC3-A77C-F7FB551C4A94}" name="Column1"/>
    <tableColumn id="4" xr3:uid="{BE56F40D-46E1-4A69-BF2A-9B77E3A7151F}" name="Column2"/>
    <tableColumn id="5" xr3:uid="{516A7762-D1DF-492C-861F-0F66A90A7DA4}" name="Column3"/>
    <tableColumn id="6" xr3:uid="{4A021364-869A-4B22-919A-B84882604398}" name="Crimes"/>
    <tableColumn id="7" xr3:uid="{28B95DCC-6FFA-40F2-9BFC-ACA28475DF60}" name="Data Breach" dataDxfId="10"/>
    <tableColumn id="8" xr3:uid="{BB65D9F8-8D1C-459D-9C3E-68F143A870F3}" name="Personal Data Breach" dataDxfId="9"/>
    <tableColumn id="9" xr3:uid="{8E0FA05F-DCBA-4D4E-B9AE-83A033E47862}" name="Malware" dataDxfId="8"/>
    <tableColumn id="10" xr3:uid="{A41AD209-FC7D-4D93-98C0-A8114CC43E64}" name="Phishing" dataDxfId="7"/>
    <tableColumn id="11" xr3:uid="{6CE861E7-E7CA-4419-9419-CBF2E89011EF}" name="Ransomware" dataDxfId="6"/>
    <tableColumn id="12" xr3:uid="{F582A736-F2DE-4871-9444-A157F02B0A3C}" name="Crimes Against Children" dataDxfId="5"/>
    <tableColumn id="13" xr3:uid="{C59C5AF2-0E81-47E8-A89A-D1BCCE4F47CD}" name="Extortion" dataDxfId="4"/>
    <tableColumn id="14" xr3:uid="{D52C7F69-BCA6-4643-91F2-5B3D5087428C}" name="Threats/Stalking/Harassment/Terrorism" dataDxfId="3"/>
    <tableColumn id="15" xr3:uid="{75E8BA91-8B63-4EBD-BF82-F81FA957BF97}" name="IPR/Counterfeit" dataDxfId="2"/>
    <tableColumn id="16" xr3:uid="{1D54B76C-0DC5-46B2-863D-C8DBDFBB868A}" name="Identify Theft" dataDxfId="1"/>
    <tableColumn id="17" xr3:uid="{930D3B8B-B14E-42B2-BC7D-9959110E1D85}" name="BEC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6State/StateReport.aspx" TargetMode="External"/><Relationship Id="rId1" Type="http://schemas.openxmlformats.org/officeDocument/2006/relationships/hyperlink" Target="https://www.ic3.gov/Media/PDF/AnnualReport/2016State/StateReport.aspx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7State/StateReport.aspx" TargetMode="External"/><Relationship Id="rId1" Type="http://schemas.openxmlformats.org/officeDocument/2006/relationships/hyperlink" Target="https://www.ic3.gov/Media/PDF/AnnualReport/2017State/StateReport.aspx" TargetMode="Externa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8State/StateReport.aspx" TargetMode="External"/><Relationship Id="rId1" Type="http://schemas.openxmlformats.org/officeDocument/2006/relationships/hyperlink" Target="https://www.ic3.gov/Media/PDF/AnnualReport/2018State/StateReport.aspx" TargetMode="Externa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CAPOP" TargetMode="External"/><Relationship Id="rId2" Type="http://schemas.openxmlformats.org/officeDocument/2006/relationships/hyperlink" Target="https://www.ic3.gov/Media/PDF/AnnualReport/2019State/StateReport.aspx" TargetMode="External"/><Relationship Id="rId1" Type="http://schemas.openxmlformats.org/officeDocument/2006/relationships/hyperlink" Target="https://www.ic3.gov/Media/PDF/AnnualReport/2019State/StateReport.aspx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2.census.gov/programs-surveys/popest/tables/2010-2019/cities/totals/SUB-IP-EST2019-ANNRES-47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c3.gov/Media/PDF/AnnualReport/2020State/StateReport.aspx" TargetMode="External"/><Relationship Id="rId2" Type="http://schemas.openxmlformats.org/officeDocument/2006/relationships/hyperlink" Target="https://www.census.gov/data/tables/time-series/demo/popest/2020s-total-cities-and-towns.html" TargetMode="External"/><Relationship Id="rId1" Type="http://schemas.openxmlformats.org/officeDocument/2006/relationships/hyperlink" Target="https://fred.stlouisfed.org/series/CAPOP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ic3.gov/Media/PDF/AnnualReport/2020State/StateReport.asp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census.gov/data/tables/time-series/demo/popest/2020s-total-cities-and-towns.html" TargetMode="External"/><Relationship Id="rId1" Type="http://schemas.openxmlformats.org/officeDocument/2006/relationships/hyperlink" Target="https://fred.stlouisfed.org/series/CAPOP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fred.stlouisfed.org/series/CAPOP" TargetMode="External"/><Relationship Id="rId1" Type="http://schemas.openxmlformats.org/officeDocument/2006/relationships/hyperlink" Target="https://www.census.gov/quickfacts/chattanoogacitytennesse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A0833-F893-440B-A067-1EE711BE5AD3}">
  <dimension ref="B2:R11"/>
  <sheetViews>
    <sheetView topLeftCell="B1" workbookViewId="0">
      <selection activeCell="I11" sqref="I5:I11"/>
    </sheetView>
  </sheetViews>
  <sheetFormatPr defaultRowHeight="14.4" x14ac:dyDescent="0.3"/>
  <cols>
    <col min="2" max="2" width="6.5546875" customWidth="1"/>
    <col min="3" max="3" width="15.21875" customWidth="1"/>
    <col min="4" max="6" width="10.109375" customWidth="1"/>
    <col min="8" max="8" width="12.88671875" customWidth="1"/>
    <col min="9" max="9" width="20.33203125" customWidth="1"/>
    <col min="10" max="10" width="10.109375" customWidth="1"/>
    <col min="11" max="11" width="9.44140625" customWidth="1"/>
    <col min="12" max="12" width="13.5546875" customWidth="1"/>
    <col min="13" max="13" width="21.88671875" customWidth="1"/>
    <col min="14" max="14" width="10.44140625" customWidth="1"/>
    <col min="15" max="15" width="35.109375" customWidth="1"/>
    <col min="16" max="16" width="15.6640625" customWidth="1"/>
    <col min="17" max="17" width="13.88671875" bestFit="1" customWidth="1"/>
    <col min="18" max="18" width="12" bestFit="1" customWidth="1"/>
  </cols>
  <sheetData>
    <row r="2" spans="2:18" x14ac:dyDescent="0.3">
      <c r="B2" t="s">
        <v>93</v>
      </c>
    </row>
    <row r="3" spans="2:18" x14ac:dyDescent="0.3">
      <c r="H3" s="17" t="s">
        <v>83</v>
      </c>
      <c r="I3" s="17"/>
      <c r="J3" s="17"/>
      <c r="K3" s="17"/>
      <c r="L3" s="17"/>
      <c r="M3" s="17" t="s">
        <v>85</v>
      </c>
      <c r="N3" s="17"/>
      <c r="O3" s="17"/>
      <c r="P3" s="17" t="s">
        <v>87</v>
      </c>
      <c r="Q3" s="17"/>
      <c r="R3" s="17"/>
    </row>
    <row r="4" spans="2:18" x14ac:dyDescent="0.3">
      <c r="B4" t="s">
        <v>80</v>
      </c>
      <c r="C4" t="s">
        <v>81</v>
      </c>
      <c r="D4" t="s">
        <v>90</v>
      </c>
      <c r="E4" t="s">
        <v>91</v>
      </c>
      <c r="F4" t="s">
        <v>92</v>
      </c>
      <c r="G4" t="s">
        <v>82</v>
      </c>
      <c r="H4" t="s">
        <v>84</v>
      </c>
      <c r="I4" t="s">
        <v>10</v>
      </c>
      <c r="J4" t="s">
        <v>9</v>
      </c>
      <c r="K4" t="s">
        <v>11</v>
      </c>
      <c r="L4" t="s">
        <v>12</v>
      </c>
      <c r="M4" t="s">
        <v>4</v>
      </c>
      <c r="N4" t="s">
        <v>8</v>
      </c>
      <c r="O4" t="s">
        <v>86</v>
      </c>
      <c r="P4" t="s">
        <v>32</v>
      </c>
      <c r="Q4" t="s">
        <v>88</v>
      </c>
      <c r="R4" t="s">
        <v>89</v>
      </c>
    </row>
    <row r="5" spans="2:18" x14ac:dyDescent="0.3">
      <c r="B5">
        <v>2016</v>
      </c>
      <c r="C5" s="1">
        <f>'2016_IC3 State to City'!$E$6</f>
        <v>177746</v>
      </c>
      <c r="H5" s="1">
        <v>53</v>
      </c>
      <c r="I5" s="1">
        <v>429</v>
      </c>
      <c r="J5" s="1">
        <v>60</v>
      </c>
      <c r="K5" s="1">
        <v>298</v>
      </c>
      <c r="L5" s="1">
        <v>49</v>
      </c>
      <c r="M5" s="1">
        <v>14</v>
      </c>
      <c r="N5" s="1">
        <v>361</v>
      </c>
      <c r="O5" s="1">
        <v>276</v>
      </c>
      <c r="P5" s="1">
        <v>44</v>
      </c>
      <c r="Q5" s="1">
        <v>281</v>
      </c>
      <c r="R5" s="1">
        <v>161</v>
      </c>
    </row>
    <row r="6" spans="2:18" x14ac:dyDescent="0.3">
      <c r="B6">
        <v>2017</v>
      </c>
      <c r="C6" s="1">
        <f>'2017_IC3 State to City'!$E$6</f>
        <v>179530</v>
      </c>
      <c r="H6" s="1">
        <v>53</v>
      </c>
      <c r="I6" s="1">
        <v>490</v>
      </c>
      <c r="J6" s="1">
        <v>43</v>
      </c>
      <c r="K6" s="1">
        <v>347</v>
      </c>
      <c r="L6" s="1">
        <v>33</v>
      </c>
      <c r="M6" s="1">
        <v>19</v>
      </c>
      <c r="N6" s="1">
        <v>290</v>
      </c>
      <c r="O6" s="1">
        <v>230</v>
      </c>
      <c r="P6" s="1">
        <v>38</v>
      </c>
      <c r="Q6" s="1">
        <v>332</v>
      </c>
      <c r="R6" s="1">
        <v>184</v>
      </c>
    </row>
    <row r="7" spans="2:18" x14ac:dyDescent="0.3">
      <c r="B7">
        <v>2018</v>
      </c>
      <c r="C7" s="1">
        <f>'2018_IC3 State to City'!$E$6</f>
        <v>181918</v>
      </c>
      <c r="H7" s="1">
        <v>28</v>
      </c>
      <c r="I7" s="1">
        <v>697</v>
      </c>
      <c r="J7" s="1">
        <v>23</v>
      </c>
      <c r="K7" s="1">
        <v>311</v>
      </c>
      <c r="L7" s="1">
        <v>20</v>
      </c>
      <c r="M7" s="1">
        <v>28</v>
      </c>
      <c r="N7" s="1">
        <v>759</v>
      </c>
      <c r="O7" s="1">
        <v>262</v>
      </c>
      <c r="P7" s="1">
        <v>25</v>
      </c>
      <c r="Q7" s="1">
        <v>407</v>
      </c>
      <c r="R7" s="1">
        <v>297</v>
      </c>
    </row>
    <row r="8" spans="2:18" x14ac:dyDescent="0.3">
      <c r="B8">
        <v>2019</v>
      </c>
      <c r="C8" s="1">
        <f>'2019_IC3 State to City'!$E$6</f>
        <v>182799</v>
      </c>
      <c r="H8" s="1">
        <v>21</v>
      </c>
      <c r="I8" s="1">
        <v>507</v>
      </c>
      <c r="J8" s="1">
        <v>46</v>
      </c>
      <c r="K8" s="1">
        <v>310</v>
      </c>
      <c r="L8" s="1">
        <v>34</v>
      </c>
      <c r="M8" s="1">
        <v>23</v>
      </c>
      <c r="N8" s="1">
        <v>725</v>
      </c>
      <c r="O8" s="1">
        <v>199</v>
      </c>
      <c r="P8" s="1">
        <v>58</v>
      </c>
      <c r="Q8" s="1">
        <v>289</v>
      </c>
      <c r="R8" s="1">
        <v>331</v>
      </c>
    </row>
    <row r="9" spans="2:18" x14ac:dyDescent="0.3">
      <c r="B9">
        <v>2020</v>
      </c>
      <c r="C9" s="1">
        <f>'2020_IC3 State to City'!$E$6</f>
        <v>181560</v>
      </c>
      <c r="H9" s="1">
        <v>29</v>
      </c>
      <c r="I9" s="1">
        <v>714</v>
      </c>
      <c r="J9" s="1">
        <v>18</v>
      </c>
      <c r="K9" s="1">
        <v>379</v>
      </c>
      <c r="L9" s="1">
        <v>34</v>
      </c>
      <c r="M9" s="1">
        <v>60</v>
      </c>
      <c r="N9" s="1">
        <v>1185</v>
      </c>
      <c r="O9" s="1">
        <v>267</v>
      </c>
      <c r="P9" s="1">
        <v>75</v>
      </c>
      <c r="Q9" s="1">
        <v>419</v>
      </c>
      <c r="R9" s="1">
        <v>249</v>
      </c>
    </row>
    <row r="10" spans="2:18" x14ac:dyDescent="0.3">
      <c r="B10">
        <v>2021</v>
      </c>
      <c r="C10" s="1">
        <f>'2021_IC3 State to City'!$E$6</f>
        <v>181163</v>
      </c>
      <c r="H10" s="1">
        <v>21</v>
      </c>
      <c r="I10" s="1">
        <v>742</v>
      </c>
      <c r="J10" s="1">
        <v>11</v>
      </c>
      <c r="K10" s="1">
        <v>438</v>
      </c>
      <c r="L10" s="1">
        <v>47</v>
      </c>
      <c r="M10" s="1">
        <v>29</v>
      </c>
      <c r="N10" s="1">
        <v>628</v>
      </c>
      <c r="O10" s="1">
        <v>172</v>
      </c>
      <c r="P10" s="1">
        <v>60</v>
      </c>
      <c r="Q10" s="1">
        <v>529</v>
      </c>
      <c r="R10" s="1">
        <v>321</v>
      </c>
    </row>
    <row r="11" spans="2:18" x14ac:dyDescent="0.3">
      <c r="B11">
        <v>2022</v>
      </c>
      <c r="C11" s="1">
        <f>'2022_IC3 State to City'!$E$6</f>
        <v>184086</v>
      </c>
      <c r="H11" s="1">
        <v>44</v>
      </c>
      <c r="I11" s="1">
        <v>903</v>
      </c>
      <c r="J11" s="1">
        <v>9</v>
      </c>
      <c r="K11" s="1">
        <v>296</v>
      </c>
      <c r="L11" s="1">
        <v>31</v>
      </c>
      <c r="M11" s="1">
        <v>54</v>
      </c>
      <c r="N11" s="1">
        <v>695</v>
      </c>
      <c r="O11" s="1">
        <v>28</v>
      </c>
      <c r="P11" s="1">
        <v>19</v>
      </c>
      <c r="Q11" s="1">
        <v>539</v>
      </c>
      <c r="R11" s="1">
        <f>'2022_IC3 State to City'!$E$8</f>
        <v>3269</v>
      </c>
    </row>
  </sheetData>
  <mergeCells count="3">
    <mergeCell ref="H3:L3"/>
    <mergeCell ref="M3:O3"/>
    <mergeCell ref="P3:R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F3C9-7347-4E5A-8AF1-020A6A780EE6}">
  <dimension ref="B4:P40"/>
  <sheetViews>
    <sheetView workbookViewId="0">
      <selection activeCell="C11" sqref="C11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4.3320312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100</v>
      </c>
      <c r="D5" t="s">
        <v>7</v>
      </c>
      <c r="E5" s="15">
        <v>39149186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78</v>
      </c>
      <c r="D6" t="s">
        <v>7</v>
      </c>
      <c r="E6" s="13">
        <v>177746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107</v>
      </c>
      <c r="C7" t="s">
        <v>25</v>
      </c>
      <c r="D7" t="s">
        <v>21</v>
      </c>
      <c r="E7" s="1">
        <v>1772</v>
      </c>
      <c r="F7" s="3">
        <f>E7/E5</f>
        <v>4.5262754633008203E-5</v>
      </c>
      <c r="G7">
        <f>ROUNDDOWN(F7*E6,0)</f>
        <v>8</v>
      </c>
      <c r="H7" s="7">
        <v>6842054</v>
      </c>
      <c r="I7" s="7">
        <f>H7/E7</f>
        <v>3861.2042889390518</v>
      </c>
      <c r="J7" s="7">
        <f>I7*G7</f>
        <v>30889.634311512415</v>
      </c>
      <c r="K7" s="8">
        <v>981</v>
      </c>
      <c r="L7" s="3">
        <f>K7/E5</f>
        <v>2.5057992265790659E-5</v>
      </c>
      <c r="M7" s="8">
        <f>ROUNDDOWN(L7*E6,0)</f>
        <v>4</v>
      </c>
      <c r="N7" s="4">
        <v>2826614</v>
      </c>
      <c r="O7" s="10">
        <f>N7/K7</f>
        <v>2881.3598369011215</v>
      </c>
      <c r="P7" s="7">
        <f>M7*O7</f>
        <v>11525.439347604486</v>
      </c>
    </row>
    <row r="8" spans="2:16" s="2" customFormat="1" x14ac:dyDescent="0.3">
      <c r="B8" s="12" t="s">
        <v>107</v>
      </c>
      <c r="C8" t="s">
        <v>23</v>
      </c>
      <c r="D8" t="s">
        <v>21</v>
      </c>
      <c r="E8" s="1">
        <v>2155</v>
      </c>
      <c r="F8" s="3">
        <f>E8/E5</f>
        <v>5.5045844375921382E-5</v>
      </c>
      <c r="G8">
        <f>ROUNDDOWN(F8*E6,0)</f>
        <v>9</v>
      </c>
      <c r="H8" s="7">
        <v>69208381</v>
      </c>
      <c r="I8" s="7">
        <f t="shared" ref="I8:I38" si="0">H8/E8</f>
        <v>32115.258004640371</v>
      </c>
      <c r="J8" s="7">
        <f t="shared" ref="J8:J38" si="1">I8*G8</f>
        <v>289037.32204176334</v>
      </c>
      <c r="K8" s="8">
        <v>362</v>
      </c>
      <c r="L8" s="3">
        <f>K8/E5</f>
        <v>9.2466801225445655E-6</v>
      </c>
      <c r="M8" s="8">
        <f>ROUNDDOWN(L8*E6,0)</f>
        <v>1</v>
      </c>
      <c r="N8" s="4">
        <v>7685800</v>
      </c>
      <c r="O8" s="10">
        <f t="shared" ref="O8:O36" si="2">N8/K8</f>
        <v>21231.491712707182</v>
      </c>
      <c r="P8" s="7">
        <f t="shared" ref="P8:P36" si="3">M8*O8</f>
        <v>21231.491712707182</v>
      </c>
    </row>
    <row r="9" spans="2:16" s="2" customFormat="1" x14ac:dyDescent="0.3">
      <c r="B9" s="12" t="s">
        <v>107</v>
      </c>
      <c r="C9" t="s">
        <v>26</v>
      </c>
      <c r="D9" t="s">
        <v>21</v>
      </c>
      <c r="E9" s="1"/>
      <c r="F9" s="3">
        <f>E9/E5</f>
        <v>0</v>
      </c>
      <c r="G9">
        <f>ROUNDDOWN(F9*E6,0)</f>
        <v>0</v>
      </c>
      <c r="H9" s="7"/>
      <c r="I9" s="7" t="e">
        <f t="shared" si="0"/>
        <v>#DIV/0!</v>
      </c>
      <c r="J9" s="7" t="e">
        <f t="shared" si="1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2"/>
        <v>#DIV/0!</v>
      </c>
      <c r="P9" s="7" t="e">
        <f t="shared" si="3"/>
        <v>#DIV/0!</v>
      </c>
    </row>
    <row r="10" spans="2:16" s="2" customFormat="1" x14ac:dyDescent="0.3">
      <c r="B10" s="12" t="s">
        <v>107</v>
      </c>
      <c r="C10" t="s">
        <v>27</v>
      </c>
      <c r="D10" t="s">
        <v>21</v>
      </c>
      <c r="E10" s="1">
        <v>1595</v>
      </c>
      <c r="F10" s="3">
        <f>E10/E5</f>
        <v>4.0741587832758518E-5</v>
      </c>
      <c r="G10">
        <f>ROUNDDOWN(F10*E6,0)</f>
        <v>7</v>
      </c>
      <c r="H10" s="7">
        <v>30496552</v>
      </c>
      <c r="I10" s="7">
        <f t="shared" si="0"/>
        <v>19120.095297805641</v>
      </c>
      <c r="J10" s="7">
        <f t="shared" si="1"/>
        <v>133840.66708463948</v>
      </c>
      <c r="K10" s="8">
        <v>837</v>
      </c>
      <c r="L10" s="3">
        <f>K10/E5</f>
        <v>2.1379754868977354E-5</v>
      </c>
      <c r="M10" s="8">
        <f>ROUNDDOWN(L10*E6,0)</f>
        <v>3</v>
      </c>
      <c r="N10" s="4">
        <v>18178156</v>
      </c>
      <c r="O10" s="10">
        <f t="shared" si="2"/>
        <v>21718.227001194744</v>
      </c>
      <c r="P10" s="7">
        <f t="shared" si="3"/>
        <v>65154.681003584235</v>
      </c>
    </row>
    <row r="11" spans="2:16" s="2" customFormat="1" x14ac:dyDescent="0.3">
      <c r="B11" s="12" t="s">
        <v>107</v>
      </c>
      <c r="C11" t="s">
        <v>115</v>
      </c>
      <c r="D11" t="s">
        <v>21</v>
      </c>
      <c r="E11" s="1">
        <v>2296</v>
      </c>
      <c r="F11" s="3">
        <f>E11/E5</f>
        <v>5.8647451826967743E-5</v>
      </c>
      <c r="G11">
        <f>ROUNDDOWN(F11*E6,0)</f>
        <v>10</v>
      </c>
      <c r="H11" s="7">
        <v>8421491</v>
      </c>
      <c r="I11" s="7">
        <f t="shared" si="0"/>
        <v>3667.8967770034842</v>
      </c>
      <c r="J11" s="7">
        <f t="shared" si="1"/>
        <v>36678.96777003484</v>
      </c>
      <c r="K11" s="8">
        <v>977</v>
      </c>
      <c r="L11" s="3">
        <f>K11/E5</f>
        <v>2.4955819004768068E-5</v>
      </c>
      <c r="M11" s="8">
        <f>ROUNDDOWN(L11*E6,0)</f>
        <v>4</v>
      </c>
      <c r="N11" s="10">
        <v>4021797</v>
      </c>
      <c r="O11" s="10">
        <f t="shared" si="2"/>
        <v>4116.475946775844</v>
      </c>
      <c r="P11" s="7">
        <f t="shared" si="3"/>
        <v>16465.903787103376</v>
      </c>
    </row>
    <row r="12" spans="2:16" s="2" customFormat="1" x14ac:dyDescent="0.3">
      <c r="B12" s="12" t="s">
        <v>107</v>
      </c>
      <c r="C12" t="s">
        <v>4</v>
      </c>
      <c r="D12" t="s">
        <v>21</v>
      </c>
      <c r="E12" s="1">
        <v>142</v>
      </c>
      <c r="F12" s="3">
        <f>E12/E5</f>
        <v>3.6271507663020118E-6</v>
      </c>
      <c r="G12">
        <f>ROUNDDOWN(F12*E6,0)</f>
        <v>0</v>
      </c>
      <c r="H12" s="7">
        <v>2764</v>
      </c>
      <c r="I12" s="7">
        <f t="shared" si="0"/>
        <v>19.464788732394368</v>
      </c>
      <c r="J12" s="7">
        <f t="shared" si="1"/>
        <v>0</v>
      </c>
      <c r="K12" s="8">
        <v>34</v>
      </c>
      <c r="L12" s="3">
        <f>K12/E5</f>
        <v>8.6847271869203106E-7</v>
      </c>
      <c r="M12" s="8">
        <f>ROUNDDOWN(L12*E6,0)</f>
        <v>0</v>
      </c>
      <c r="N12" s="10">
        <v>2030</v>
      </c>
      <c r="O12" s="10">
        <f t="shared" si="2"/>
        <v>59.705882352941174</v>
      </c>
      <c r="P12" s="7">
        <f t="shared" si="3"/>
        <v>0</v>
      </c>
    </row>
    <row r="13" spans="2:16" s="2" customFormat="1" x14ac:dyDescent="0.3">
      <c r="B13" s="12" t="s">
        <v>107</v>
      </c>
      <c r="C13" t="s">
        <v>5</v>
      </c>
      <c r="D13" t="s">
        <v>21</v>
      </c>
      <c r="E13" s="1">
        <v>568</v>
      </c>
      <c r="F13" s="3">
        <f>E13/E5</f>
        <v>1.4508603065208047E-5</v>
      </c>
      <c r="G13">
        <f>ROUNDDOWN(F13*E6,0)</f>
        <v>2</v>
      </c>
      <c r="H13" s="7">
        <v>9769361</v>
      </c>
      <c r="I13" s="7">
        <f t="shared" si="0"/>
        <v>17199.579225352114</v>
      </c>
      <c r="J13" s="7">
        <f t="shared" si="1"/>
        <v>34399.158450704228</v>
      </c>
      <c r="K13" s="8">
        <v>141</v>
      </c>
      <c r="L13" s="3">
        <f>K13/E5</f>
        <v>3.601607451046364E-6</v>
      </c>
      <c r="M13" s="8">
        <f>ROUNDDOWN(L13*E6,0)</f>
        <v>0</v>
      </c>
      <c r="N13" s="6">
        <v>5175617</v>
      </c>
      <c r="O13" s="9">
        <f t="shared" si="2"/>
        <v>36706.503546099288</v>
      </c>
      <c r="P13" s="7">
        <f t="shared" si="3"/>
        <v>0</v>
      </c>
    </row>
    <row r="14" spans="2:16" s="2" customFormat="1" x14ac:dyDescent="0.3">
      <c r="B14" s="12" t="s">
        <v>107</v>
      </c>
      <c r="C14" t="s">
        <v>29</v>
      </c>
      <c r="D14" t="s">
        <v>21</v>
      </c>
      <c r="E14" s="1">
        <v>2122</v>
      </c>
      <c r="F14" s="3">
        <f>E14/E5</f>
        <v>5.4202914972484999E-5</v>
      </c>
      <c r="G14">
        <f>ROUNDDOWN(F14*E6,0)</f>
        <v>9</v>
      </c>
      <c r="H14" s="7">
        <v>5123371</v>
      </c>
      <c r="I14" s="7">
        <f t="shared" si="0"/>
        <v>2414.4066918001886</v>
      </c>
      <c r="J14" s="7">
        <f t="shared" si="1"/>
        <v>21729.660226201697</v>
      </c>
      <c r="K14" s="8">
        <v>872</v>
      </c>
      <c r="L14" s="3">
        <f>K14/E5</f>
        <v>2.2273770902925031E-5</v>
      </c>
      <c r="M14" s="8">
        <f>ROUNDDOWN(L14*E6,0)</f>
        <v>3</v>
      </c>
      <c r="N14" s="4">
        <v>2423611</v>
      </c>
      <c r="O14" s="10">
        <f t="shared" si="2"/>
        <v>2779.3704128440368</v>
      </c>
      <c r="P14" s="7">
        <f t="shared" si="3"/>
        <v>8338.1112385321103</v>
      </c>
    </row>
    <row r="15" spans="2:16" s="2" customFormat="1" x14ac:dyDescent="0.3">
      <c r="B15" s="12" t="s">
        <v>107</v>
      </c>
      <c r="C15" t="s">
        <v>8</v>
      </c>
      <c r="D15" t="s">
        <v>21</v>
      </c>
      <c r="E15" s="1">
        <v>2257</v>
      </c>
      <c r="F15" s="3">
        <f>E15/E5</f>
        <v>5.7651262531997471E-5</v>
      </c>
      <c r="G15">
        <f>ROUNDDOWN(F15*E6,0)</f>
        <v>10</v>
      </c>
      <c r="H15" s="7">
        <v>2413243</v>
      </c>
      <c r="I15" s="7">
        <f t="shared" si="0"/>
        <v>1069.2259636685867</v>
      </c>
      <c r="J15" s="7">
        <f t="shared" si="1"/>
        <v>10692.259636685867</v>
      </c>
      <c r="K15" s="8">
        <v>579</v>
      </c>
      <c r="L15" s="3">
        <f>K15/E5</f>
        <v>1.4789579533020175E-5</v>
      </c>
      <c r="M15" s="8">
        <f>ROUNDDOWN(L15*E6,0)</f>
        <v>2</v>
      </c>
      <c r="N15" s="4">
        <v>691139</v>
      </c>
      <c r="O15" s="10">
        <f t="shared" si="2"/>
        <v>1193.6770293609673</v>
      </c>
      <c r="P15" s="7">
        <f t="shared" si="3"/>
        <v>2387.3540587219345</v>
      </c>
    </row>
    <row r="16" spans="2:16" s="2" customFormat="1" x14ac:dyDescent="0.3">
      <c r="B16" s="12" t="s">
        <v>107</v>
      </c>
      <c r="C16" t="s">
        <v>30</v>
      </c>
      <c r="D16" t="s">
        <v>21</v>
      </c>
      <c r="E16" s="1">
        <v>1408</v>
      </c>
      <c r="F16" s="3">
        <f>E16/E5</f>
        <v>3.5964987879952344E-5</v>
      </c>
      <c r="G16">
        <f>ROUNDDOWN(F16*E6,0)</f>
        <v>6</v>
      </c>
      <c r="H16" s="7">
        <v>2220574</v>
      </c>
      <c r="I16" s="7">
        <f t="shared" si="0"/>
        <v>1577.112215909091</v>
      </c>
      <c r="J16" s="7">
        <f t="shared" si="1"/>
        <v>9462.673295454546</v>
      </c>
      <c r="K16" s="8">
        <v>205</v>
      </c>
      <c r="L16" s="3">
        <f>K16/E5</f>
        <v>5.2363796274078339E-6</v>
      </c>
      <c r="M16" s="8">
        <f>ROUNDDOWN(L16*E6,0)</f>
        <v>0</v>
      </c>
      <c r="N16" s="4">
        <v>308363</v>
      </c>
      <c r="O16" s="10">
        <f t="shared" si="2"/>
        <v>1504.209756097561</v>
      </c>
      <c r="P16" s="7">
        <f t="shared" si="3"/>
        <v>0</v>
      </c>
    </row>
    <row r="17" spans="2:16" s="2" customFormat="1" x14ac:dyDescent="0.3">
      <c r="B17" s="12" t="s">
        <v>107</v>
      </c>
      <c r="C17" t="s">
        <v>31</v>
      </c>
      <c r="D17" t="s">
        <v>21</v>
      </c>
      <c r="F17" s="3">
        <f>E36/E5</f>
        <v>5.693604970483933E-5</v>
      </c>
      <c r="G17">
        <f>ROUNDDOWN(F17*E6,0)</f>
        <v>10</v>
      </c>
      <c r="H17" s="7"/>
      <c r="I17" s="7" t="e">
        <f t="shared" si="0"/>
        <v>#DIV/0!</v>
      </c>
      <c r="J17" s="7" t="e">
        <f t="shared" si="1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2"/>
        <v>#DIV/0!</v>
      </c>
      <c r="P17" s="7" t="e">
        <f t="shared" si="3"/>
        <v>#DIV/0!</v>
      </c>
    </row>
    <row r="18" spans="2:16" s="2" customFormat="1" x14ac:dyDescent="0.3">
      <c r="B18" s="12" t="s">
        <v>107</v>
      </c>
      <c r="C18" t="s">
        <v>32</v>
      </c>
      <c r="D18" t="s">
        <v>21</v>
      </c>
      <c r="E18" s="1">
        <v>383</v>
      </c>
      <c r="F18" s="3">
        <f>E18/E5</f>
        <v>9.7830897429131733E-6</v>
      </c>
      <c r="G18">
        <f>ROUNDDOWN(F18*E6,0)</f>
        <v>1</v>
      </c>
      <c r="H18" s="7">
        <v>1946413</v>
      </c>
      <c r="I18" s="7">
        <f t="shared" si="0"/>
        <v>5082.0182767624019</v>
      </c>
      <c r="J18" s="7">
        <f t="shared" si="1"/>
        <v>5082.0182767624019</v>
      </c>
      <c r="K18" s="8">
        <v>176</v>
      </c>
      <c r="L18" s="3">
        <f>K18/E5</f>
        <v>4.495623484994043E-6</v>
      </c>
      <c r="M18" s="8">
        <f>ROUNDDOWN(L18*E6,0)</f>
        <v>0</v>
      </c>
      <c r="N18" s="4">
        <v>1437731</v>
      </c>
      <c r="O18" s="10">
        <f t="shared" si="2"/>
        <v>8168.926136363636</v>
      </c>
      <c r="P18" s="7">
        <f t="shared" si="3"/>
        <v>0</v>
      </c>
    </row>
    <row r="19" spans="2:16" s="2" customFormat="1" x14ac:dyDescent="0.3">
      <c r="B19" s="12" t="s">
        <v>107</v>
      </c>
      <c r="C19" t="s">
        <v>33</v>
      </c>
      <c r="D19" t="s">
        <v>21</v>
      </c>
      <c r="E19" s="1">
        <v>2368</v>
      </c>
      <c r="F19" s="3">
        <f>E19/E5</f>
        <v>6.0486570525374397E-5</v>
      </c>
      <c r="G19">
        <f>ROUNDDOWN(F19*E6,0)</f>
        <v>10</v>
      </c>
      <c r="H19" s="7">
        <v>17862807</v>
      </c>
      <c r="I19" s="7">
        <f t="shared" si="0"/>
        <v>7543.4151182432433</v>
      </c>
      <c r="J19" s="7">
        <f t="shared" si="1"/>
        <v>75434.151182432426</v>
      </c>
      <c r="K19" s="8">
        <v>734</v>
      </c>
      <c r="L19" s="3">
        <f>K19/E5</f>
        <v>1.8748793397645611E-5</v>
      </c>
      <c r="M19" s="8">
        <f>ROUNDDOWN(L19*E6,0)</f>
        <v>3</v>
      </c>
      <c r="N19" s="4">
        <v>2859749</v>
      </c>
      <c r="O19" s="10">
        <f t="shared" si="2"/>
        <v>3896.1158038147137</v>
      </c>
      <c r="P19" s="7">
        <f t="shared" si="3"/>
        <v>11688.347411444141</v>
      </c>
    </row>
    <row r="20" spans="2:16" s="2" customFormat="1" x14ac:dyDescent="0.3">
      <c r="B20" s="12" t="s">
        <v>107</v>
      </c>
      <c r="C20" t="s">
        <v>34</v>
      </c>
      <c r="D20" t="s">
        <v>21</v>
      </c>
      <c r="E20" s="1">
        <v>178</v>
      </c>
      <c r="F20" s="3">
        <f>E20/E5</f>
        <v>4.5467101155053394E-6</v>
      </c>
      <c r="G20">
        <f>ROUNDDOWN(F20*E6,0)</f>
        <v>0</v>
      </c>
      <c r="H20" s="7">
        <v>12656865</v>
      </c>
      <c r="I20" s="7">
        <f t="shared" si="0"/>
        <v>71105.983146067418</v>
      </c>
      <c r="J20" s="7">
        <f t="shared" si="1"/>
        <v>0</v>
      </c>
      <c r="K20" s="8">
        <v>194</v>
      </c>
      <c r="L20" s="3">
        <f>K20/E5</f>
        <v>4.9554031595957066E-6</v>
      </c>
      <c r="M20" s="8">
        <f>ROUNDDOWN(L20*E6,0)</f>
        <v>0</v>
      </c>
      <c r="N20" s="4">
        <v>10676727</v>
      </c>
      <c r="O20" s="10">
        <f t="shared" si="2"/>
        <v>55034.675257731957</v>
      </c>
      <c r="P20" s="7">
        <f t="shared" si="3"/>
        <v>0</v>
      </c>
    </row>
    <row r="21" spans="2:16" s="2" customFormat="1" x14ac:dyDescent="0.3">
      <c r="B21" s="12" t="s">
        <v>107</v>
      </c>
      <c r="C21" t="s">
        <v>35</v>
      </c>
      <c r="D21" t="s">
        <v>21</v>
      </c>
      <c r="E21" s="1">
        <v>310</v>
      </c>
      <c r="F21" s="3">
        <f>E21/E5</f>
        <v>7.9184277292508721E-6</v>
      </c>
      <c r="G21">
        <f>ROUNDDOWN(F21*E6,0)</f>
        <v>1</v>
      </c>
      <c r="H21" s="7">
        <v>2890676</v>
      </c>
      <c r="I21" s="7">
        <f t="shared" si="0"/>
        <v>9324.76129032258</v>
      </c>
      <c r="J21" s="7">
        <f t="shared" si="1"/>
        <v>9324.76129032258</v>
      </c>
      <c r="K21" s="8">
        <v>313</v>
      </c>
      <c r="L21" s="3">
        <f>K21/E5</f>
        <v>7.9950576750178146E-6</v>
      </c>
      <c r="M21" s="8">
        <f>ROUNDDOWN(L21*E6,0)</f>
        <v>1</v>
      </c>
      <c r="N21" s="4">
        <v>1268658</v>
      </c>
      <c r="O21" s="10">
        <f t="shared" si="2"/>
        <v>4053.220447284345</v>
      </c>
      <c r="P21" s="7">
        <f t="shared" si="3"/>
        <v>4053.220447284345</v>
      </c>
    </row>
    <row r="22" spans="2:16" s="2" customFormat="1" x14ac:dyDescent="0.3">
      <c r="B22" s="12" t="s">
        <v>107</v>
      </c>
      <c r="C22" t="s">
        <v>9</v>
      </c>
      <c r="D22" t="s">
        <v>21</v>
      </c>
      <c r="E22" s="1">
        <v>347</v>
      </c>
      <c r="F22" s="3">
        <f>E22/E5</f>
        <v>8.8635303937098462E-6</v>
      </c>
      <c r="G22">
        <f>ROUNDDOWN(F22*E6,0)</f>
        <v>1</v>
      </c>
      <c r="H22" s="7">
        <v>1617528</v>
      </c>
      <c r="I22" s="7">
        <f t="shared" si="0"/>
        <v>4661.4639769452451</v>
      </c>
      <c r="J22" s="7">
        <f t="shared" si="1"/>
        <v>4661.4639769452451</v>
      </c>
      <c r="K22" s="8">
        <v>109</v>
      </c>
      <c r="L22" s="3">
        <f>K22/E5</f>
        <v>2.7842213628656289E-6</v>
      </c>
      <c r="M22" s="8">
        <f>ROUNDDOWN(L22*E6,0)</f>
        <v>0</v>
      </c>
      <c r="N22" s="10">
        <v>83182</v>
      </c>
      <c r="O22" s="10">
        <f t="shared" si="2"/>
        <v>763.13761467889913</v>
      </c>
      <c r="P22" s="7">
        <f t="shared" si="3"/>
        <v>0</v>
      </c>
    </row>
    <row r="23" spans="2:16" s="2" customFormat="1" x14ac:dyDescent="0.3">
      <c r="B23" s="12" t="s">
        <v>107</v>
      </c>
      <c r="C23" t="s">
        <v>36</v>
      </c>
      <c r="D23" t="s">
        <v>21</v>
      </c>
      <c r="E23" s="1"/>
      <c r="F23" s="3">
        <f>E23/E5</f>
        <v>0</v>
      </c>
      <c r="G23">
        <f>ROUNDDOWN(F23*E6,0)</f>
        <v>0</v>
      </c>
      <c r="H23" s="7"/>
      <c r="I23" s="7" t="e">
        <f t="shared" si="0"/>
        <v>#DIV/0!</v>
      </c>
      <c r="J23" s="7" t="e">
        <f t="shared" si="1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2"/>
        <v>#DIV/0!</v>
      </c>
      <c r="P23" s="7" t="e">
        <f t="shared" si="3"/>
        <v>#DIV/0!</v>
      </c>
    </row>
    <row r="24" spans="2:16" s="2" customFormat="1" x14ac:dyDescent="0.3">
      <c r="B24" s="12" t="s">
        <v>107</v>
      </c>
      <c r="C24" t="s">
        <v>37</v>
      </c>
      <c r="D24" t="s">
        <v>21</v>
      </c>
      <c r="E24" s="1"/>
      <c r="F24" s="3">
        <f>E24/E5</f>
        <v>0</v>
      </c>
      <c r="G24">
        <f>ROUNDDOWN(F24*E6,0)</f>
        <v>0</v>
      </c>
      <c r="H24" s="7"/>
      <c r="I24" s="7" t="e">
        <f t="shared" si="0"/>
        <v>#DIV/0!</v>
      </c>
      <c r="J24" s="7" t="e">
        <f t="shared" si="1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2"/>
        <v>#DIV/0!</v>
      </c>
      <c r="P24" s="7" t="e">
        <f t="shared" si="3"/>
        <v>#DIV/0!</v>
      </c>
    </row>
    <row r="25" spans="2:16" s="2" customFormat="1" x14ac:dyDescent="0.3">
      <c r="B25" s="12" t="s">
        <v>107</v>
      </c>
      <c r="C25" t="s">
        <v>38</v>
      </c>
      <c r="D25" t="s">
        <v>21</v>
      </c>
      <c r="E25" s="1">
        <v>1994</v>
      </c>
      <c r="F25" s="3">
        <f>E25/E5</f>
        <v>5.0933370619762055E-5</v>
      </c>
      <c r="G25">
        <f>ROUNDDOWN(F25*E6,0)</f>
        <v>9</v>
      </c>
      <c r="H25" s="7"/>
      <c r="I25" s="7">
        <f t="shared" si="0"/>
        <v>0</v>
      </c>
      <c r="J25" s="7">
        <f t="shared" si="1"/>
        <v>0</v>
      </c>
      <c r="K25" s="8">
        <v>743</v>
      </c>
      <c r="L25" s="3">
        <f>K25/E5</f>
        <v>1.8978683234946443E-5</v>
      </c>
      <c r="M25" s="8">
        <f>ROUNDDOWN(L25*E6,0)</f>
        <v>3</v>
      </c>
      <c r="N25" s="10"/>
      <c r="O25" s="10">
        <f t="shared" si="2"/>
        <v>0</v>
      </c>
      <c r="P25" s="7">
        <f t="shared" si="3"/>
        <v>0</v>
      </c>
    </row>
    <row r="26" spans="2:16" s="2" customFormat="1" x14ac:dyDescent="0.3">
      <c r="B26" s="12" t="s">
        <v>107</v>
      </c>
      <c r="C26" t="s">
        <v>39</v>
      </c>
      <c r="D26" t="s">
        <v>21</v>
      </c>
      <c r="E26" s="1">
        <v>10780</v>
      </c>
      <c r="F26" s="3">
        <f>E26/E5</f>
        <v>2.7535693845588514E-4</v>
      </c>
      <c r="G26">
        <f>ROUNDDOWN(F26*E6,0)</f>
        <v>48</v>
      </c>
      <c r="H26" s="7">
        <v>18745947</v>
      </c>
      <c r="I26" s="7">
        <f t="shared" si="0"/>
        <v>1738.9561224489796</v>
      </c>
      <c r="J26" s="7">
        <f t="shared" si="1"/>
        <v>83469.893877551018</v>
      </c>
      <c r="K26" s="8">
        <v>4329</v>
      </c>
      <c r="L26" s="3">
        <f>K26/E5</f>
        <v>1.1057701174170007E-4</v>
      </c>
      <c r="M26" s="8">
        <f>ROUNDDOWN(L26*E6,0)</f>
        <v>19</v>
      </c>
      <c r="N26" s="4">
        <v>10357087</v>
      </c>
      <c r="O26" s="10">
        <f t="shared" si="2"/>
        <v>2392.4894894894896</v>
      </c>
      <c r="P26" s="7">
        <f t="shared" si="3"/>
        <v>45457.300300300303</v>
      </c>
    </row>
    <row r="27" spans="2:16" s="2" customFormat="1" x14ac:dyDescent="0.3">
      <c r="B27" s="12" t="s">
        <v>107</v>
      </c>
      <c r="C27" t="s">
        <v>40</v>
      </c>
      <c r="D27" t="s">
        <v>21</v>
      </c>
      <c r="E27" s="1">
        <v>1780</v>
      </c>
      <c r="F27" s="3">
        <f>E27/E5</f>
        <v>4.5467101155053392E-5</v>
      </c>
      <c r="G27">
        <f>ROUNDDOWN(F27*E6,0)</f>
        <v>8</v>
      </c>
      <c r="H27" s="7">
        <v>20280039</v>
      </c>
      <c r="I27" s="7">
        <f t="shared" si="0"/>
        <v>11393.280337078651</v>
      </c>
      <c r="J27" s="7">
        <f t="shared" si="1"/>
        <v>91146.242696629211</v>
      </c>
      <c r="K27" s="8">
        <v>488</v>
      </c>
      <c r="L27" s="3">
        <f>K27/E5</f>
        <v>1.2465137844756211E-5</v>
      </c>
      <c r="M27" s="8">
        <f>ROUNDDOWN(L27*E6,0)</f>
        <v>2</v>
      </c>
      <c r="N27" s="4">
        <v>4609617</v>
      </c>
      <c r="O27" s="10">
        <f>N27/K27</f>
        <v>9445.9364754098369</v>
      </c>
      <c r="P27" s="7">
        <f t="shared" si="3"/>
        <v>18891.872950819674</v>
      </c>
    </row>
    <row r="28" spans="2:16" s="2" customFormat="1" x14ac:dyDescent="0.3">
      <c r="B28" s="12" t="s">
        <v>107</v>
      </c>
      <c r="C28" t="s">
        <v>41</v>
      </c>
      <c r="D28" t="s">
        <v>21</v>
      </c>
      <c r="E28" s="1"/>
      <c r="F28" s="3">
        <f>E28/E5</f>
        <v>0</v>
      </c>
      <c r="G28">
        <f>ROUNDDOWN(F28*E6,0)</f>
        <v>0</v>
      </c>
      <c r="H28" s="7"/>
      <c r="I28" s="7" t="e">
        <f t="shared" si="0"/>
        <v>#DIV/0!</v>
      </c>
      <c r="J28" s="7" t="e">
        <f t="shared" si="1"/>
        <v>#DIV/0!</v>
      </c>
      <c r="K28" s="8"/>
      <c r="L28" s="3">
        <f>K28/E5</f>
        <v>0</v>
      </c>
      <c r="M28" s="8">
        <f>ROUNDDOWN(L28*E6,0)</f>
        <v>0</v>
      </c>
      <c r="N28" s="4"/>
      <c r="O28" s="10" t="e">
        <f t="shared" si="2"/>
        <v>#DIV/0!</v>
      </c>
      <c r="P28" s="7" t="e">
        <f>M28*O28</f>
        <v>#DIV/0!</v>
      </c>
    </row>
    <row r="29" spans="2:16" s="2" customFormat="1" x14ac:dyDescent="0.3">
      <c r="B29" s="12" t="s">
        <v>107</v>
      </c>
      <c r="C29" t="s">
        <v>10</v>
      </c>
      <c r="D29" t="s">
        <v>21</v>
      </c>
      <c r="E29" s="1">
        <v>4031</v>
      </c>
      <c r="F29" s="3">
        <f>E29/E5</f>
        <v>1.0296510379551697E-4</v>
      </c>
      <c r="G29">
        <f>ROUNDDOWN(F29*E6,0)</f>
        <v>18</v>
      </c>
      <c r="H29" s="7">
        <v>8808240</v>
      </c>
      <c r="I29" s="7">
        <f t="shared" si="0"/>
        <v>2185.1252790870753</v>
      </c>
      <c r="J29" s="7">
        <f t="shared" si="1"/>
        <v>39332.255023567355</v>
      </c>
      <c r="K29" s="8">
        <v>1569</v>
      </c>
      <c r="L29" s="3">
        <f>K29/E5</f>
        <v>4.0077461636111671E-5</v>
      </c>
      <c r="M29" s="8">
        <f>ROUNDDOWN(L29*E6,0)</f>
        <v>7</v>
      </c>
      <c r="N29" s="4">
        <v>7062269</v>
      </c>
      <c r="O29" s="10">
        <f t="shared" si="2"/>
        <v>4501.1274697259405</v>
      </c>
      <c r="P29" s="7">
        <f t="shared" si="3"/>
        <v>31507.892288081584</v>
      </c>
    </row>
    <row r="30" spans="2:16" s="2" customFormat="1" x14ac:dyDescent="0.3">
      <c r="B30" s="12" t="s">
        <v>107</v>
      </c>
      <c r="C30" t="s">
        <v>11</v>
      </c>
      <c r="D30" t="s">
        <v>21</v>
      </c>
      <c r="E30" s="1">
        <v>2059</v>
      </c>
      <c r="F30" s="3">
        <f>E30/E5</f>
        <v>5.2593686111379174E-5</v>
      </c>
      <c r="G30">
        <f>ROUNDDOWN(F30*E6,0)</f>
        <v>9</v>
      </c>
      <c r="H30" s="7">
        <v>11073447</v>
      </c>
      <c r="I30" s="7">
        <f t="shared" si="0"/>
        <v>5378.070422535211</v>
      </c>
      <c r="J30" s="7">
        <f t="shared" si="1"/>
        <v>48402.633802816898</v>
      </c>
      <c r="K30" s="8">
        <v>618</v>
      </c>
      <c r="L30" s="3">
        <f>K30/E5</f>
        <v>1.5785768827990447E-5</v>
      </c>
      <c r="M30" s="8">
        <f>ROUNDDOWN(L30*E6,0)</f>
        <v>2</v>
      </c>
      <c r="N30" s="4">
        <v>617610</v>
      </c>
      <c r="O30" s="10">
        <f t="shared" si="2"/>
        <v>999.36893203883494</v>
      </c>
      <c r="P30" s="7">
        <f t="shared" si="3"/>
        <v>1998.7378640776699</v>
      </c>
    </row>
    <row r="31" spans="2:16" s="2" customFormat="1" x14ac:dyDescent="0.3">
      <c r="B31" s="12" t="s">
        <v>107</v>
      </c>
      <c r="C31" t="s">
        <v>12</v>
      </c>
      <c r="D31" t="s">
        <v>21</v>
      </c>
      <c r="E31" s="1">
        <v>336</v>
      </c>
      <c r="F31" s="3">
        <f>E31/E5</f>
        <v>8.582553925897718E-6</v>
      </c>
      <c r="G31">
        <f>ROUNDDOWN(F31*E6,0)</f>
        <v>1</v>
      </c>
      <c r="H31" s="7">
        <v>260331</v>
      </c>
      <c r="I31" s="7">
        <f t="shared" si="0"/>
        <v>774.79464285714289</v>
      </c>
      <c r="J31" s="7">
        <f t="shared" si="1"/>
        <v>774.79464285714289</v>
      </c>
      <c r="K31" s="8">
        <v>32</v>
      </c>
      <c r="L31" s="3">
        <f>K31/E5</f>
        <v>8.1738608818073506E-7</v>
      </c>
      <c r="M31" s="8">
        <f>ROUNDDOWN(L31*E6,0)</f>
        <v>0</v>
      </c>
      <c r="N31" s="10">
        <v>65864</v>
      </c>
      <c r="O31" s="10">
        <f t="shared" si="2"/>
        <v>2058.25</v>
      </c>
      <c r="P31" s="7">
        <f t="shared" si="3"/>
        <v>0</v>
      </c>
    </row>
    <row r="32" spans="2:16" s="2" customFormat="1" x14ac:dyDescent="0.3">
      <c r="B32" s="12" t="s">
        <v>107</v>
      </c>
      <c r="C32" t="s">
        <v>42</v>
      </c>
      <c r="D32" t="s">
        <v>21</v>
      </c>
      <c r="E32" s="1">
        <v>2333</v>
      </c>
      <c r="F32" s="3">
        <f>E32/E5</f>
        <v>5.959255449142672E-5</v>
      </c>
      <c r="G32">
        <f>ROUNDDOWN(F32*E6,0)</f>
        <v>10</v>
      </c>
      <c r="H32" s="7">
        <v>6314255</v>
      </c>
      <c r="I32" s="7">
        <f t="shared" si="0"/>
        <v>2706.495927989713</v>
      </c>
      <c r="J32" s="7">
        <f t="shared" si="1"/>
        <v>27064.959279897128</v>
      </c>
      <c r="K32" s="8">
        <v>934</v>
      </c>
      <c r="L32" s="3">
        <f>K32/E5</f>
        <v>2.3857456448775206E-5</v>
      </c>
      <c r="M32" s="8">
        <f>ROUNDDOWN(L32*E6,0)</f>
        <v>4</v>
      </c>
      <c r="N32" s="4">
        <v>3545224</v>
      </c>
      <c r="O32" s="10">
        <f t="shared" si="2"/>
        <v>3795.743040685225</v>
      </c>
      <c r="P32" s="7">
        <f t="shared" si="3"/>
        <v>15182.9721627409</v>
      </c>
    </row>
    <row r="33" spans="2:16" s="2" customFormat="1" x14ac:dyDescent="0.3">
      <c r="B33" s="12" t="s">
        <v>107</v>
      </c>
      <c r="C33" t="s">
        <v>43</v>
      </c>
      <c r="D33" t="s">
        <v>21</v>
      </c>
      <c r="E33" s="1"/>
      <c r="F33" s="3">
        <f>E33/E5</f>
        <v>0</v>
      </c>
      <c r="G33">
        <f>ROUNDDOWN(F33*E6,0)</f>
        <v>0</v>
      </c>
      <c r="H33" s="7"/>
      <c r="I33" s="7" t="e">
        <f t="shared" si="0"/>
        <v>#DIV/0!</v>
      </c>
      <c r="J33" s="7" t="e">
        <f t="shared" si="1"/>
        <v>#DIV/0!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2"/>
        <v>#DIV/0!</v>
      </c>
      <c r="P33" s="7" t="e">
        <f t="shared" si="3"/>
        <v>#DIV/0!</v>
      </c>
    </row>
    <row r="34" spans="2:16" s="2" customFormat="1" x14ac:dyDescent="0.3">
      <c r="B34" s="12" t="s">
        <v>107</v>
      </c>
      <c r="C34" t="s">
        <v>13</v>
      </c>
      <c r="D34" t="s">
        <v>21</v>
      </c>
      <c r="E34" s="1"/>
      <c r="F34" s="3">
        <f>E34/E5</f>
        <v>0</v>
      </c>
      <c r="G34">
        <f>ROUNDDOWN(F34*E6,0)</f>
        <v>0</v>
      </c>
      <c r="H34" s="7"/>
      <c r="I34" s="7" t="e">
        <f t="shared" si="0"/>
        <v>#DIV/0!</v>
      </c>
      <c r="J34" s="7" t="e">
        <f t="shared" si="1"/>
        <v>#DIV/0!</v>
      </c>
      <c r="K34" s="8"/>
      <c r="L34" s="3">
        <f>K34/E5</f>
        <v>0</v>
      </c>
      <c r="M34" s="8">
        <f>ROUNDDOWN(L34*E6,0)</f>
        <v>0</v>
      </c>
      <c r="N34" s="4"/>
      <c r="O34" s="10" t="e">
        <f t="shared" si="2"/>
        <v>#DIV/0!</v>
      </c>
      <c r="P34" s="7" t="e">
        <f t="shared" si="3"/>
        <v>#DIV/0!</v>
      </c>
    </row>
    <row r="35" spans="2:16" s="2" customFormat="1" x14ac:dyDescent="0.3">
      <c r="B35" s="12" t="s">
        <v>107</v>
      </c>
      <c r="C35" t="s">
        <v>44</v>
      </c>
      <c r="D35" t="s">
        <v>21</v>
      </c>
      <c r="E35" s="1">
        <v>1434</v>
      </c>
      <c r="F35" s="3">
        <f>E35/E5</f>
        <v>3.6629114076599191E-5</v>
      </c>
      <c r="G35">
        <f>ROUNDDOWN(F35*E6,0)</f>
        <v>6</v>
      </c>
      <c r="H35" s="7">
        <v>812196</v>
      </c>
      <c r="I35" s="7">
        <f t="shared" si="0"/>
        <v>566.38493723849376</v>
      </c>
      <c r="J35" s="7">
        <f t="shared" si="1"/>
        <v>3398.3096234309623</v>
      </c>
      <c r="K35" s="8">
        <v>491</v>
      </c>
      <c r="L35" s="3">
        <f>K35/E5</f>
        <v>1.2541767790523155E-5</v>
      </c>
      <c r="M35" s="8">
        <f>ROUNDDOWN(L35*E6,0)</f>
        <v>2</v>
      </c>
      <c r="N35" s="4">
        <v>536262</v>
      </c>
      <c r="O35" s="10">
        <f t="shared" si="2"/>
        <v>1092.1832993890021</v>
      </c>
      <c r="P35" s="7">
        <f t="shared" si="3"/>
        <v>2184.3665987780041</v>
      </c>
    </row>
    <row r="36" spans="2:16" s="2" customFormat="1" x14ac:dyDescent="0.3">
      <c r="B36" s="12" t="s">
        <v>107</v>
      </c>
      <c r="C36" t="s">
        <v>14</v>
      </c>
      <c r="D36" t="s">
        <v>21</v>
      </c>
      <c r="E36" s="1">
        <f>2199+30</f>
        <v>2229</v>
      </c>
      <c r="F36" s="3" t="e">
        <f>#REF!/E5</f>
        <v>#REF!</v>
      </c>
      <c r="G36" t="e">
        <f>ROUNDDOWN(F36*E6,0)</f>
        <v>#REF!</v>
      </c>
      <c r="H36" s="7">
        <f>2067650+72126</f>
        <v>2139776</v>
      </c>
      <c r="I36" s="7">
        <f t="shared" si="0"/>
        <v>959.97128757290261</v>
      </c>
      <c r="J36" s="7" t="e">
        <f t="shared" si="1"/>
        <v>#REF!</v>
      </c>
      <c r="K36" s="8">
        <f>1148+15</f>
        <v>1163</v>
      </c>
      <c r="L36" s="3">
        <f>K36/E5</f>
        <v>2.9706875642318592E-5</v>
      </c>
      <c r="M36" s="8">
        <f>ROUNDDOWN(L36*E6,0)</f>
        <v>5</v>
      </c>
      <c r="N36" s="4">
        <f>1445261+250</f>
        <v>1445511</v>
      </c>
      <c r="O36" s="10">
        <f t="shared" si="2"/>
        <v>1242.9157351676697</v>
      </c>
      <c r="P36" s="7">
        <f t="shared" si="3"/>
        <v>6214.5786758383483</v>
      </c>
    </row>
    <row r="37" spans="2:16" x14ac:dyDescent="0.3">
      <c r="H37" s="18"/>
      <c r="I37" s="7" t="e">
        <f t="shared" si="0"/>
        <v>#DIV/0!</v>
      </c>
      <c r="J37" s="7" t="e">
        <f t="shared" si="1"/>
        <v>#DIV/0!</v>
      </c>
      <c r="L37" s="3"/>
      <c r="M37" s="3"/>
      <c r="N37" s="10"/>
      <c r="O37" s="10"/>
    </row>
    <row r="38" spans="2:16" x14ac:dyDescent="0.3">
      <c r="E38" s="1">
        <f>SUM(E7:E36)</f>
        <v>44877</v>
      </c>
      <c r="G38" t="e">
        <f>SUM(G8:G36)</f>
        <v>#REF!</v>
      </c>
      <c r="H38" s="18"/>
      <c r="I38" s="7">
        <f t="shared" si="0"/>
        <v>0</v>
      </c>
      <c r="J38" s="7" t="e">
        <f t="shared" si="1"/>
        <v>#REF!</v>
      </c>
      <c r="L38" s="3"/>
      <c r="M38" s="3"/>
      <c r="N38" s="10"/>
      <c r="O38" s="10"/>
    </row>
    <row r="39" spans="2:16" x14ac:dyDescent="0.3">
      <c r="C39" t="s">
        <v>79</v>
      </c>
      <c r="H39" s="18"/>
    </row>
    <row r="40" spans="2:16" x14ac:dyDescent="0.3">
      <c r="C40" t="s">
        <v>76</v>
      </c>
      <c r="H40" s="18"/>
    </row>
  </sheetData>
  <phoneticPr fontId="1" type="noConversion"/>
  <hyperlinks>
    <hyperlink ref="B7" r:id="rId1" location="?s=47" display="https://www.ic3.gov/Media/PDF/AnnualReport/2016State/StateReport.aspx#?s=47" xr:uid="{EB5140ED-D771-4296-8A62-B58FFBC41B1E}"/>
    <hyperlink ref="B8:B36" r:id="rId2" location="?s=47" display="https://www.ic3.gov/Media/PDF/AnnualReport/2016State/StateReport.aspx#?s=47" xr:uid="{5F8B9632-E185-41B8-A5EA-EBD83C779A7C}"/>
    <hyperlink ref="B5" r:id="rId3" xr:uid="{BDA768C9-8868-461A-8E53-C67108CA68AD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C32B-77DF-49D8-A922-B39970BB3AB9}">
  <dimension ref="B4:P41"/>
  <sheetViews>
    <sheetView topLeftCell="M19" workbookViewId="0">
      <selection activeCell="M7" sqref="M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101</v>
      </c>
      <c r="D5" t="s">
        <v>7</v>
      </c>
      <c r="E5" s="15">
        <v>39337785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74</v>
      </c>
      <c r="D6" t="s">
        <v>7</v>
      </c>
      <c r="E6" s="13">
        <v>179530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108</v>
      </c>
      <c r="C7" t="s">
        <v>25</v>
      </c>
      <c r="D7" t="s">
        <v>21</v>
      </c>
      <c r="E7" s="1">
        <v>1913</v>
      </c>
      <c r="F7" s="3">
        <f>E7/E5</f>
        <v>4.8630089365733225E-5</v>
      </c>
      <c r="G7">
        <f ca="1">G7=ROUNDDOWN(F7*E6,0)</f>
        <v>0</v>
      </c>
      <c r="H7" s="4">
        <v>7201726</v>
      </c>
      <c r="I7" s="7">
        <f>H7/E7</f>
        <v>3764.6241505488761</v>
      </c>
      <c r="J7" s="7">
        <f ca="1">I7*G7</f>
        <v>30116.993204391008</v>
      </c>
      <c r="K7" s="8">
        <v>1011</v>
      </c>
      <c r="L7" s="3">
        <f>K7/E5</f>
        <v>2.5700481102329478E-5</v>
      </c>
      <c r="M7" s="8">
        <f>ROUNDDOWN(L7*E6,0)</f>
        <v>4</v>
      </c>
      <c r="N7" s="4">
        <v>4418144</v>
      </c>
      <c r="O7" s="10">
        <f>N7/K7</f>
        <v>4370.0731948565781</v>
      </c>
      <c r="P7" s="7">
        <f>M7*O7</f>
        <v>17480.292779426312</v>
      </c>
    </row>
    <row r="8" spans="2:16" s="2" customFormat="1" x14ac:dyDescent="0.3">
      <c r="B8" s="12" t="s">
        <v>108</v>
      </c>
      <c r="C8" t="s">
        <v>23</v>
      </c>
      <c r="D8" t="s">
        <v>21</v>
      </c>
      <c r="E8" s="1">
        <v>2429</v>
      </c>
      <c r="F8" s="3">
        <f>E8/E5</f>
        <v>6.1747248860097233E-5</v>
      </c>
      <c r="G8">
        <f>ROUNDDOWN(F8*E6,0)</f>
        <v>11</v>
      </c>
      <c r="H8" s="4">
        <v>106225791</v>
      </c>
      <c r="I8" s="7">
        <f>H8/E8</f>
        <v>43732.314121037467</v>
      </c>
      <c r="J8" s="7">
        <f t="shared" ref="J8:J38" si="0">I8*G8</f>
        <v>481055.45533141214</v>
      </c>
      <c r="K8" s="8">
        <v>357</v>
      </c>
      <c r="L8" s="3">
        <f>K8/E5</f>
        <v>9.0752440687750971E-6</v>
      </c>
      <c r="M8" s="8">
        <f>ROUNDDOWN(L8*E6,0)</f>
        <v>1</v>
      </c>
      <c r="N8" s="4">
        <v>15991994</v>
      </c>
      <c r="O8" s="10">
        <f t="shared" ref="O8:O36" si="1">N8/K8</f>
        <v>44795.501400560221</v>
      </c>
      <c r="P8" s="7">
        <f t="shared" ref="P8:P36" si="2">M8*O8</f>
        <v>44795.501400560221</v>
      </c>
    </row>
    <row r="9" spans="2:16" s="2" customFormat="1" x14ac:dyDescent="0.3">
      <c r="B9" s="12" t="s">
        <v>108</v>
      </c>
      <c r="C9" t="s">
        <v>26</v>
      </c>
      <c r="D9" t="s">
        <v>21</v>
      </c>
      <c r="E9" s="1"/>
      <c r="F9" s="3">
        <f>E9/E5</f>
        <v>0</v>
      </c>
      <c r="G9">
        <f>ROUNDDOWN(F9*E6,0)</f>
        <v>0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>
        <f>K9/E5</f>
        <v>0</v>
      </c>
      <c r="M9" s="8">
        <f>ROUNDDOWN(L9*E6,0)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108</v>
      </c>
      <c r="C10" t="s">
        <v>27</v>
      </c>
      <c r="D10" t="s">
        <v>21</v>
      </c>
      <c r="E10" s="1">
        <v>1761</v>
      </c>
      <c r="F10" s="3">
        <f>E10/E5</f>
        <v>4.4766119902277165E-5</v>
      </c>
      <c r="G10">
        <f>ROUNDDOWN(F10*E6,0)</f>
        <v>8</v>
      </c>
      <c r="H10" s="4">
        <v>31622647</v>
      </c>
      <c r="I10" s="7">
        <f t="shared" si="3"/>
        <v>17957.210107893243</v>
      </c>
      <c r="J10" s="7">
        <f t="shared" si="0"/>
        <v>143657.68086314594</v>
      </c>
      <c r="K10" s="8">
        <v>818</v>
      </c>
      <c r="L10" s="3">
        <f>K10/E5</f>
        <v>2.0794256717809606E-5</v>
      </c>
      <c r="M10" s="8">
        <f>ROUNDDOWN(L10*E6,0)</f>
        <v>3</v>
      </c>
      <c r="N10" s="4">
        <v>18645188</v>
      </c>
      <c r="O10" s="10">
        <f t="shared" si="1"/>
        <v>22793.628361858191</v>
      </c>
      <c r="P10" s="7">
        <f t="shared" si="2"/>
        <v>68380.88508557457</v>
      </c>
    </row>
    <row r="11" spans="2:16" s="2" customFormat="1" x14ac:dyDescent="0.3">
      <c r="B11" s="12" t="s">
        <v>108</v>
      </c>
      <c r="C11" t="s">
        <v>115</v>
      </c>
      <c r="D11" t="s">
        <v>21</v>
      </c>
      <c r="E11" s="1">
        <v>2329</v>
      </c>
      <c r="F11" s="3">
        <f>E11/E5</f>
        <v>5.9205163686770877E-5</v>
      </c>
      <c r="G11">
        <f>ROUNDDOWN(F11*E6,0)</f>
        <v>10</v>
      </c>
      <c r="H11" s="6">
        <v>11485551</v>
      </c>
      <c r="I11" s="7">
        <f t="shared" si="3"/>
        <v>4931.5375697724348</v>
      </c>
      <c r="J11" s="7">
        <f t="shared" si="0"/>
        <v>49315.375697724347</v>
      </c>
      <c r="K11" s="8">
        <v>980</v>
      </c>
      <c r="L11" s="3">
        <f>K11/E5</f>
        <v>2.4912434698598306E-5</v>
      </c>
      <c r="M11" s="8">
        <f>ROUNDDOWN(L11*E6,0)</f>
        <v>4</v>
      </c>
      <c r="N11" s="10">
        <v>7489248</v>
      </c>
      <c r="O11" s="10">
        <f t="shared" si="1"/>
        <v>7642.0897959183676</v>
      </c>
      <c r="P11" s="7">
        <f t="shared" si="2"/>
        <v>30568.35918367347</v>
      </c>
    </row>
    <row r="12" spans="2:16" s="2" customFormat="1" x14ac:dyDescent="0.3">
      <c r="B12" s="12" t="s">
        <v>108</v>
      </c>
      <c r="C12" t="s">
        <v>4</v>
      </c>
      <c r="D12" t="s">
        <v>21</v>
      </c>
      <c r="E12" s="1">
        <v>125</v>
      </c>
      <c r="F12" s="3">
        <f>E12/E5</f>
        <v>3.1776064666579475E-6</v>
      </c>
      <c r="G12">
        <f>ROUNDDOWN(F12*E6,0)</f>
        <v>0</v>
      </c>
      <c r="H12" s="20">
        <v>1050</v>
      </c>
      <c r="I12" s="7">
        <f>H12/E12</f>
        <v>8.4</v>
      </c>
      <c r="J12" s="7">
        <f t="shared" si="0"/>
        <v>0</v>
      </c>
      <c r="K12" s="8">
        <v>36</v>
      </c>
      <c r="L12" s="3">
        <f>K12/E5</f>
        <v>9.1515066239748885E-7</v>
      </c>
      <c r="M12" s="8">
        <f>ROUNDDOWN(L12*E6,0)</f>
        <v>0</v>
      </c>
      <c r="N12" s="10">
        <v>250</v>
      </c>
      <c r="O12" s="10">
        <f t="shared" si="1"/>
        <v>6.9444444444444446</v>
      </c>
      <c r="P12" s="7">
        <f t="shared" si="2"/>
        <v>0</v>
      </c>
    </row>
    <row r="13" spans="2:16" s="2" customFormat="1" x14ac:dyDescent="0.3">
      <c r="B13" s="12" t="s">
        <v>108</v>
      </c>
      <c r="C13" t="s">
        <v>5</v>
      </c>
      <c r="D13" t="s">
        <v>21</v>
      </c>
      <c r="E13" s="1">
        <v>632</v>
      </c>
      <c r="F13" s="3">
        <f>E13/E5</f>
        <v>1.6065978295422583E-5</v>
      </c>
      <c r="G13">
        <f>ROUNDDOWN(F13*E6,0)</f>
        <v>2</v>
      </c>
      <c r="H13" s="6">
        <v>7805797</v>
      </c>
      <c r="I13" s="16">
        <f>H13/E13</f>
        <v>12350.944620253165</v>
      </c>
      <c r="J13" s="7">
        <f t="shared" si="0"/>
        <v>24701.889240506331</v>
      </c>
      <c r="K13" s="8">
        <v>135</v>
      </c>
      <c r="L13" s="3">
        <f>K13/E5</f>
        <v>3.4318149839905832E-6</v>
      </c>
      <c r="M13" s="8">
        <f>ROUNDDOWN(L13*E6,0)</f>
        <v>0</v>
      </c>
      <c r="N13" s="10">
        <v>1828376</v>
      </c>
      <c r="O13" s="10">
        <f t="shared" si="1"/>
        <v>13543.525925925926</v>
      </c>
      <c r="P13" s="7">
        <f t="shared" si="2"/>
        <v>0</v>
      </c>
    </row>
    <row r="14" spans="2:16" s="2" customFormat="1" x14ac:dyDescent="0.3">
      <c r="B14" s="12" t="s">
        <v>108</v>
      </c>
      <c r="C14" t="s">
        <v>29</v>
      </c>
      <c r="D14" t="s">
        <v>21</v>
      </c>
      <c r="E14" s="1">
        <v>2111</v>
      </c>
      <c r="F14" s="3">
        <f>E14/E5</f>
        <v>5.3663418008919414E-5</v>
      </c>
      <c r="G14">
        <f>ROUNDDOWN(F14*E6,0)</f>
        <v>9</v>
      </c>
      <c r="H14" s="4">
        <v>7048026</v>
      </c>
      <c r="I14" s="7">
        <f t="shared" si="3"/>
        <v>3338.7143533870203</v>
      </c>
      <c r="J14" s="7">
        <f t="shared" si="0"/>
        <v>30048.429180483181</v>
      </c>
      <c r="K14" s="8">
        <v>890</v>
      </c>
      <c r="L14" s="3">
        <f>K14/E5</f>
        <v>2.2624558042604584E-5</v>
      </c>
      <c r="M14" s="8">
        <f>ROUNDDOWN(L14*E6,0)</f>
        <v>4</v>
      </c>
      <c r="N14" s="4">
        <v>3546359</v>
      </c>
      <c r="O14" s="10">
        <f t="shared" si="1"/>
        <v>3984.6730337078652</v>
      </c>
      <c r="P14" s="7">
        <f t="shared" si="2"/>
        <v>15938.692134831461</v>
      </c>
    </row>
    <row r="15" spans="2:16" s="2" customFormat="1" x14ac:dyDescent="0.3">
      <c r="B15" s="12" t="s">
        <v>108</v>
      </c>
      <c r="C15" t="s">
        <v>8</v>
      </c>
      <c r="D15" t="s">
        <v>21</v>
      </c>
      <c r="E15" s="1">
        <v>2054</v>
      </c>
      <c r="F15" s="3">
        <f>E15/E5</f>
        <v>5.2214429460123393E-5</v>
      </c>
      <c r="G15">
        <f>ROUNDDOWN(F15*E6,0)</f>
        <v>9</v>
      </c>
      <c r="H15" s="4">
        <v>1725544</v>
      </c>
      <c r="I15" s="7">
        <f t="shared" si="3"/>
        <v>840.08958130477117</v>
      </c>
      <c r="J15" s="7">
        <f t="shared" si="0"/>
        <v>7560.8062317429403</v>
      </c>
      <c r="K15" s="8">
        <v>428</v>
      </c>
      <c r="L15" s="3">
        <f>K15/E5</f>
        <v>1.0880124541836812E-5</v>
      </c>
      <c r="M15" s="8">
        <f>ROUNDDOWN(L15*E6,0)</f>
        <v>1</v>
      </c>
      <c r="N15" s="4">
        <v>1159802</v>
      </c>
      <c r="O15" s="10">
        <f t="shared" si="1"/>
        <v>2709.8177570093458</v>
      </c>
      <c r="P15" s="7">
        <f t="shared" si="2"/>
        <v>2709.8177570093458</v>
      </c>
    </row>
    <row r="16" spans="2:16" s="2" customFormat="1" x14ac:dyDescent="0.3">
      <c r="B16" s="12" t="s">
        <v>108</v>
      </c>
      <c r="C16" t="s">
        <v>30</v>
      </c>
      <c r="D16" t="s">
        <v>21</v>
      </c>
      <c r="E16" s="1">
        <v>1033</v>
      </c>
      <c r="F16" s="3">
        <f>E16/E5</f>
        <v>2.6259739840461278E-5</v>
      </c>
      <c r="G16">
        <f>ROUNDDOWN(F16*E6,0)</f>
        <v>4</v>
      </c>
      <c r="H16" s="4">
        <v>1332356</v>
      </c>
      <c r="I16" s="7">
        <f t="shared" si="3"/>
        <v>1289.7928363988383</v>
      </c>
      <c r="J16" s="7">
        <f t="shared" si="0"/>
        <v>5159.1713455953532</v>
      </c>
      <c r="K16" s="8">
        <v>160</v>
      </c>
      <c r="L16" s="3">
        <f>K16/E5</f>
        <v>4.0673362773221726E-6</v>
      </c>
      <c r="M16" s="8">
        <f>ROUNDDOWN(L16*E6,0)</f>
        <v>0</v>
      </c>
      <c r="N16" s="4">
        <v>997544</v>
      </c>
      <c r="O16" s="10">
        <f t="shared" si="1"/>
        <v>6234.65</v>
      </c>
      <c r="P16" s="7">
        <f t="shared" si="2"/>
        <v>0</v>
      </c>
    </row>
    <row r="17" spans="2:16" s="2" customFormat="1" x14ac:dyDescent="0.3">
      <c r="B17" s="12" t="s">
        <v>108</v>
      </c>
      <c r="C17" t="s">
        <v>31</v>
      </c>
      <c r="D17" t="s">
        <v>21</v>
      </c>
      <c r="E17" s="1"/>
      <c r="F17" s="3">
        <f>E17/E5</f>
        <v>0</v>
      </c>
      <c r="G17">
        <f>ROUNDDOWN(F17*E6,0)</f>
        <v>0</v>
      </c>
      <c r="H17" s="4"/>
      <c r="I17" s="7" t="e">
        <f t="shared" si="3"/>
        <v>#DIV/0!</v>
      </c>
      <c r="J17" s="7" t="e">
        <f t="shared" si="0"/>
        <v>#DIV/0!</v>
      </c>
      <c r="K17" s="8"/>
      <c r="L17" s="3">
        <f>K17/E5</f>
        <v>0</v>
      </c>
      <c r="M17" s="8">
        <f>ROUNDDOWN(L17*E6,0)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108</v>
      </c>
      <c r="C18" t="s">
        <v>32</v>
      </c>
      <c r="D18" t="s">
        <v>21</v>
      </c>
      <c r="E18" s="1">
        <v>399</v>
      </c>
      <c r="F18" s="3">
        <f>E18/E5</f>
        <v>1.0142919841572168E-5</v>
      </c>
      <c r="G18">
        <f>ROUNDDOWN(F18*E6,0)</f>
        <v>1</v>
      </c>
      <c r="H18" s="4">
        <v>1750437</v>
      </c>
      <c r="I18" s="7">
        <f t="shared" si="3"/>
        <v>4387.0601503759399</v>
      </c>
      <c r="J18" s="7">
        <f t="shared" si="0"/>
        <v>4387.0601503759399</v>
      </c>
      <c r="K18" s="8">
        <v>167</v>
      </c>
      <c r="L18" s="3">
        <f>K18/E5</f>
        <v>4.2452822394550179E-6</v>
      </c>
      <c r="M18" s="8">
        <f>ROUNDDOWN(L18*E6,0)</f>
        <v>0</v>
      </c>
      <c r="N18" s="4">
        <v>887091</v>
      </c>
      <c r="O18" s="10">
        <f t="shared" si="1"/>
        <v>5311.9221556886232</v>
      </c>
      <c r="P18" s="7">
        <f t="shared" si="2"/>
        <v>0</v>
      </c>
    </row>
    <row r="19" spans="2:16" s="2" customFormat="1" x14ac:dyDescent="0.3">
      <c r="B19" s="12" t="s">
        <v>108</v>
      </c>
      <c r="C19" t="s">
        <v>33</v>
      </c>
      <c r="D19" t="s">
        <v>21</v>
      </c>
      <c r="E19" s="1">
        <v>2609</v>
      </c>
      <c r="F19" s="3">
        <f>E19/E5</f>
        <v>6.6323002172084678E-5</v>
      </c>
      <c r="G19">
        <f>ROUNDDOWN(F19*E6,0)</f>
        <v>11</v>
      </c>
      <c r="H19" s="4">
        <v>10216795</v>
      </c>
      <c r="I19" s="7">
        <f t="shared" si="3"/>
        <v>3915.9812188577998</v>
      </c>
      <c r="J19" s="7">
        <f t="shared" si="0"/>
        <v>43075.793407435798</v>
      </c>
      <c r="K19" s="8">
        <v>808</v>
      </c>
      <c r="L19" s="3">
        <f>K19/E5</f>
        <v>2.0540048200476972E-5</v>
      </c>
      <c r="M19" s="8">
        <f>ROUNDDOWN(L19*E6,0)</f>
        <v>3</v>
      </c>
      <c r="N19" s="4">
        <v>9086325</v>
      </c>
      <c r="O19" s="10">
        <f t="shared" si="1"/>
        <v>11245.451732673268</v>
      </c>
      <c r="P19" s="7">
        <f t="shared" si="2"/>
        <v>33736.355198019803</v>
      </c>
    </row>
    <row r="20" spans="2:16" s="2" customFormat="1" x14ac:dyDescent="0.3">
      <c r="B20" s="12" t="s">
        <v>108</v>
      </c>
      <c r="C20" t="s">
        <v>34</v>
      </c>
      <c r="D20" t="s">
        <v>21</v>
      </c>
      <c r="E20" s="1">
        <v>312</v>
      </c>
      <c r="F20" s="3">
        <f>E20/E5</f>
        <v>7.9313057407782359E-6</v>
      </c>
      <c r="G20">
        <f>ROUNDDOWN(F20*E6,0)</f>
        <v>1</v>
      </c>
      <c r="H20" s="4">
        <v>9720720</v>
      </c>
      <c r="I20" s="7">
        <f t="shared" si="3"/>
        <v>31156.153846153848</v>
      </c>
      <c r="J20" s="7">
        <f t="shared" si="0"/>
        <v>31156.153846153848</v>
      </c>
      <c r="K20" s="8">
        <v>235</v>
      </c>
      <c r="L20" s="3">
        <f>K20/E5</f>
        <v>5.9739001573169412E-6</v>
      </c>
      <c r="M20" s="8">
        <f>ROUNDDOWN(L20*E6,0)</f>
        <v>1</v>
      </c>
      <c r="N20" s="4">
        <v>9277143</v>
      </c>
      <c r="O20" s="10">
        <f t="shared" si="1"/>
        <v>39477.20425531915</v>
      </c>
      <c r="P20" s="7">
        <f t="shared" si="2"/>
        <v>39477.20425531915</v>
      </c>
    </row>
    <row r="21" spans="2:16" s="2" customFormat="1" x14ac:dyDescent="0.3">
      <c r="B21" s="12" t="s">
        <v>108</v>
      </c>
      <c r="C21" t="s">
        <v>35</v>
      </c>
      <c r="D21" t="s">
        <v>21</v>
      </c>
      <c r="E21" s="1">
        <v>280</v>
      </c>
      <c r="F21" s="3">
        <f>E21/E5</f>
        <v>7.1178384853138016E-6</v>
      </c>
      <c r="G21">
        <f>ROUNDDOWN(F21*E6,0)</f>
        <v>1</v>
      </c>
      <c r="H21" s="4">
        <v>2861498</v>
      </c>
      <c r="I21" s="7">
        <f t="shared" si="3"/>
        <v>10219.635714285714</v>
      </c>
      <c r="J21" s="7">
        <f t="shared" si="0"/>
        <v>10219.635714285714</v>
      </c>
      <c r="K21" s="8">
        <v>156</v>
      </c>
      <c r="L21" s="3">
        <f>K21/E5</f>
        <v>3.965652870389118E-6</v>
      </c>
      <c r="M21" s="8">
        <f>ROUNDDOWN(L21*E6,0)</f>
        <v>0</v>
      </c>
      <c r="N21" s="4">
        <v>1755460</v>
      </c>
      <c r="O21" s="10">
        <f t="shared" si="1"/>
        <v>11252.948717948719</v>
      </c>
      <c r="P21" s="7">
        <f t="shared" si="2"/>
        <v>0</v>
      </c>
    </row>
    <row r="22" spans="2:16" s="2" customFormat="1" x14ac:dyDescent="0.3">
      <c r="B22" s="12" t="s">
        <v>108</v>
      </c>
      <c r="C22" t="s">
        <v>9</v>
      </c>
      <c r="D22" t="s">
        <v>21</v>
      </c>
      <c r="E22" s="1">
        <v>408</v>
      </c>
      <c r="F22" s="3">
        <f>E22/E5</f>
        <v>1.037170750717154E-5</v>
      </c>
      <c r="G22">
        <f>ROUNDDOWN(F22*E6,0)</f>
        <v>1</v>
      </c>
      <c r="H22" s="4">
        <v>400701</v>
      </c>
      <c r="I22" s="7">
        <f t="shared" si="3"/>
        <v>982.11029411764707</v>
      </c>
      <c r="J22" s="7">
        <f t="shared" si="0"/>
        <v>982.11029411764707</v>
      </c>
      <c r="K22" s="8">
        <v>113</v>
      </c>
      <c r="L22" s="3">
        <f>K22/E5</f>
        <v>2.8725562458587845E-6</v>
      </c>
      <c r="M22" s="8">
        <f>ROUNDDOWN(L22*E6,0)</f>
        <v>0</v>
      </c>
      <c r="N22" s="4">
        <v>62271</v>
      </c>
      <c r="O22" s="10">
        <f t="shared" si="1"/>
        <v>551.07079646017701</v>
      </c>
      <c r="P22" s="7">
        <f t="shared" si="2"/>
        <v>0</v>
      </c>
    </row>
    <row r="23" spans="2:16" s="2" customFormat="1" x14ac:dyDescent="0.3">
      <c r="B23" s="12" t="s">
        <v>108</v>
      </c>
      <c r="C23" t="s">
        <v>36</v>
      </c>
      <c r="D23" t="s">
        <v>21</v>
      </c>
      <c r="E23" s="1"/>
      <c r="F23" s="3">
        <f>E23/E5</f>
        <v>0</v>
      </c>
      <c r="G23">
        <f>ROUNDDOWN(F23*E6,0)</f>
        <v>0</v>
      </c>
      <c r="H23" s="4"/>
      <c r="I23" s="7" t="e">
        <f t="shared" si="3"/>
        <v>#DIV/0!</v>
      </c>
      <c r="J23" s="7" t="e">
        <f t="shared" si="0"/>
        <v>#DIV/0!</v>
      </c>
      <c r="K23" s="8"/>
      <c r="L23" s="3">
        <f>K23/E5</f>
        <v>0</v>
      </c>
      <c r="M23" s="8">
        <f>ROUNDDOWN(L23*E6,0)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108</v>
      </c>
      <c r="C24" t="s">
        <v>37</v>
      </c>
      <c r="D24" t="s">
        <v>21</v>
      </c>
      <c r="E24" s="1"/>
      <c r="F24" s="3">
        <f>E24/E5</f>
        <v>0</v>
      </c>
      <c r="G24">
        <f>ROUNDDOWN(F24*E6,0)</f>
        <v>0</v>
      </c>
      <c r="H24" s="4"/>
      <c r="I24" s="7" t="e">
        <f t="shared" si="3"/>
        <v>#DIV/0!</v>
      </c>
      <c r="J24" s="7" t="e">
        <f t="shared" si="0"/>
        <v>#DIV/0!</v>
      </c>
      <c r="K24" s="8"/>
      <c r="L24" s="3">
        <f>K24/E5</f>
        <v>0</v>
      </c>
      <c r="M24" s="8">
        <f>ROUNDDOWN(L24*E6,0)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108</v>
      </c>
      <c r="C25" t="s">
        <v>38</v>
      </c>
      <c r="D25" t="s">
        <v>21</v>
      </c>
      <c r="E25" s="1">
        <v>3048</v>
      </c>
      <c r="F25" s="3">
        <f>E25/E5</f>
        <v>7.7482756082987385E-5</v>
      </c>
      <c r="G25">
        <f>ROUNDDOWN(F25*E6,0)</f>
        <v>13</v>
      </c>
      <c r="H25" s="4">
        <v>0</v>
      </c>
      <c r="I25" s="7">
        <f t="shared" si="3"/>
        <v>0</v>
      </c>
      <c r="J25" s="7">
        <f t="shared" si="0"/>
        <v>0</v>
      </c>
      <c r="K25" s="8">
        <v>974</v>
      </c>
      <c r="L25" s="3">
        <f>K25/E5</f>
        <v>2.4759909588198724E-5</v>
      </c>
      <c r="M25" s="8">
        <f>ROUNDDOWN(L25*E6,0)</f>
        <v>4</v>
      </c>
      <c r="N25" s="10">
        <v>0</v>
      </c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108</v>
      </c>
      <c r="C26" t="s">
        <v>39</v>
      </c>
      <c r="D26" t="s">
        <v>21</v>
      </c>
      <c r="E26" s="1">
        <v>11209</v>
      </c>
      <c r="F26" s="3">
        <f>E26/E5</f>
        <v>2.8494232707815145E-4</v>
      </c>
      <c r="G26">
        <f>ROUNDDOWN(F26*E6,0)</f>
        <v>51</v>
      </c>
      <c r="H26" s="4">
        <v>21235593</v>
      </c>
      <c r="I26" s="7">
        <f t="shared" si="3"/>
        <v>1894.5127129984833</v>
      </c>
      <c r="J26" s="7">
        <f t="shared" si="0"/>
        <v>96620.148362922642</v>
      </c>
      <c r="K26" s="8">
        <v>4371</v>
      </c>
      <c r="L26" s="3">
        <f>K26/E5</f>
        <v>1.1111454292609511E-4</v>
      </c>
      <c r="M26" s="8">
        <f>ROUNDDOWN(L26*E6,0)</f>
        <v>19</v>
      </c>
      <c r="N26" s="4">
        <v>15422359</v>
      </c>
      <c r="O26" s="10">
        <f t="shared" si="1"/>
        <v>3528.3365362617251</v>
      </c>
      <c r="P26" s="7">
        <f t="shared" si="2"/>
        <v>67038.394188972772</v>
      </c>
    </row>
    <row r="27" spans="2:16" s="2" customFormat="1" x14ac:dyDescent="0.3">
      <c r="B27" s="12" t="s">
        <v>108</v>
      </c>
      <c r="C27" t="s">
        <v>40</v>
      </c>
      <c r="D27" t="s">
        <v>21</v>
      </c>
      <c r="E27" s="1">
        <v>2558</v>
      </c>
      <c r="F27" s="3">
        <f>E27/E5</f>
        <v>6.5026538733688232E-5</v>
      </c>
      <c r="G27">
        <f>ROUNDDOWN(F27*E6,0)</f>
        <v>11</v>
      </c>
      <c r="H27" s="4">
        <v>3945903</v>
      </c>
      <c r="I27" s="7">
        <f t="shared" si="3"/>
        <v>1542.5734949179046</v>
      </c>
      <c r="J27" s="7">
        <f t="shared" si="0"/>
        <v>16968.308444096951</v>
      </c>
      <c r="K27" s="8">
        <v>612</v>
      </c>
      <c r="L27" s="3">
        <f>K27/E5</f>
        <v>1.5557561260757309E-5</v>
      </c>
      <c r="M27" s="8">
        <f>ROUNDDOWN(L27*E6,0)</f>
        <v>2</v>
      </c>
      <c r="N27" s="4">
        <v>1634576</v>
      </c>
      <c r="O27" s="10">
        <f>N27/K27</f>
        <v>2670.875816993464</v>
      </c>
      <c r="P27" s="7">
        <f t="shared" si="2"/>
        <v>5341.751633986928</v>
      </c>
    </row>
    <row r="28" spans="2:16" s="2" customFormat="1" x14ac:dyDescent="0.3">
      <c r="B28" s="12" t="s">
        <v>108</v>
      </c>
      <c r="C28" t="s">
        <v>41</v>
      </c>
      <c r="D28" t="s">
        <v>21</v>
      </c>
      <c r="E28" s="1">
        <v>2802</v>
      </c>
      <c r="F28" s="3">
        <f>E28/E5</f>
        <v>7.122922655660455E-5</v>
      </c>
      <c r="G28">
        <f>ROUNDDOWN(F28*E6,0)</f>
        <v>12</v>
      </c>
      <c r="H28" s="4">
        <v>7226026</v>
      </c>
      <c r="I28" s="7">
        <f t="shared" si="3"/>
        <v>2578.8815132048535</v>
      </c>
      <c r="J28" s="7">
        <f>I28*G28</f>
        <v>30946.578158458244</v>
      </c>
      <c r="K28" s="8">
        <v>1118</v>
      </c>
      <c r="L28" s="3">
        <f>K28/E5</f>
        <v>2.842051223778868E-5</v>
      </c>
      <c r="M28" s="8">
        <f>ROUNDDOWN(L28*E6,0)</f>
        <v>5</v>
      </c>
      <c r="N28" s="4">
        <v>2666116</v>
      </c>
      <c r="O28" s="10">
        <f t="shared" si="1"/>
        <v>2384.7191413237924</v>
      </c>
      <c r="P28" s="7">
        <f>M28*O28</f>
        <v>11923.595706618962</v>
      </c>
    </row>
    <row r="29" spans="2:16" s="2" customFormat="1" x14ac:dyDescent="0.3">
      <c r="B29" s="12" t="s">
        <v>108</v>
      </c>
      <c r="C29" t="s">
        <v>10</v>
      </c>
      <c r="D29" t="s">
        <v>21</v>
      </c>
      <c r="E29" s="1">
        <v>4764</v>
      </c>
      <c r="F29" s="3">
        <f>E29/E5</f>
        <v>1.2110493765726769E-4</v>
      </c>
      <c r="G29">
        <f>ROUNDDOWN(F29*E6,0)</f>
        <v>21</v>
      </c>
      <c r="H29" s="4">
        <v>9355626</v>
      </c>
      <c r="I29" s="7">
        <f t="shared" si="3"/>
        <v>1963.8173803526449</v>
      </c>
      <c r="J29" s="7">
        <f t="shared" si="0"/>
        <v>41240.164987405544</v>
      </c>
      <c r="K29" s="8">
        <v>1721</v>
      </c>
      <c r="L29" s="3">
        <f>K29/E5</f>
        <v>4.3749285832946617E-5</v>
      </c>
      <c r="M29" s="8">
        <f>ROUNDDOWN(L29*E6,0)</f>
        <v>7</v>
      </c>
      <c r="N29" s="4">
        <v>3160050</v>
      </c>
      <c r="O29" s="10">
        <f t="shared" si="1"/>
        <v>1836.1708309122603</v>
      </c>
      <c r="P29" s="7">
        <f t="shared" si="2"/>
        <v>12853.195816385822</v>
      </c>
    </row>
    <row r="30" spans="2:16" s="2" customFormat="1" x14ac:dyDescent="0.3">
      <c r="B30" s="12" t="s">
        <v>108</v>
      </c>
      <c r="C30" t="s">
        <v>11</v>
      </c>
      <c r="D30" t="s">
        <v>21</v>
      </c>
      <c r="E30" s="1">
        <v>3098</v>
      </c>
      <c r="F30" s="3">
        <f>E30/E5</f>
        <v>7.8753798669650566E-5</v>
      </c>
      <c r="G30">
        <f>ROUNDDOWN(F30*E6,0)</f>
        <v>14</v>
      </c>
      <c r="H30" s="4">
        <v>3032022</v>
      </c>
      <c r="I30" s="7">
        <f t="shared" si="3"/>
        <v>978.70303421562301</v>
      </c>
      <c r="J30" s="7">
        <f t="shared" si="0"/>
        <v>13701.842479018722</v>
      </c>
      <c r="K30" s="8">
        <v>708</v>
      </c>
      <c r="L30" s="3">
        <f>K30/E5</f>
        <v>1.7997963027150613E-5</v>
      </c>
      <c r="M30" s="8">
        <f>ROUNDDOWN(L30*E6,0)</f>
        <v>3</v>
      </c>
      <c r="N30" s="4">
        <v>1789122</v>
      </c>
      <c r="O30" s="10">
        <f t="shared" si="1"/>
        <v>2527.0084745762711</v>
      </c>
      <c r="P30" s="7">
        <f t="shared" si="2"/>
        <v>7581.0254237288136</v>
      </c>
    </row>
    <row r="31" spans="2:16" s="2" customFormat="1" x14ac:dyDescent="0.3">
      <c r="B31" s="12" t="s">
        <v>108</v>
      </c>
      <c r="C31" t="s">
        <v>12</v>
      </c>
      <c r="D31" t="s">
        <v>21</v>
      </c>
      <c r="E31" s="1">
        <v>222</v>
      </c>
      <c r="F31" s="3">
        <f>E31/E5</f>
        <v>5.6434290847845144E-6</v>
      </c>
      <c r="G31">
        <f>ROUNDDOWN(F31*E6,0)</f>
        <v>1</v>
      </c>
      <c r="H31" s="4">
        <v>600727</v>
      </c>
      <c r="I31" s="7">
        <f>H31/E31</f>
        <v>2705.9774774774774</v>
      </c>
      <c r="J31" s="7">
        <f t="shared" si="0"/>
        <v>2705.9774774774774</v>
      </c>
      <c r="K31" s="8">
        <v>18</v>
      </c>
      <c r="L31" s="3">
        <f>K31/E5</f>
        <v>4.5757533119874443E-7</v>
      </c>
      <c r="M31" s="8">
        <f>ROUNDDOWN(L31*E6,0)</f>
        <v>0</v>
      </c>
      <c r="N31" s="4">
        <v>304799</v>
      </c>
      <c r="O31" s="10">
        <f t="shared" si="1"/>
        <v>16933.277777777777</v>
      </c>
      <c r="P31" s="7">
        <f t="shared" si="2"/>
        <v>0</v>
      </c>
    </row>
    <row r="32" spans="2:16" s="2" customFormat="1" x14ac:dyDescent="0.3">
      <c r="B32" s="12" t="s">
        <v>108</v>
      </c>
      <c r="C32" t="s">
        <v>42</v>
      </c>
      <c r="D32" t="s">
        <v>21</v>
      </c>
      <c r="E32" s="1">
        <v>1940</v>
      </c>
      <c r="F32" s="3">
        <f>E32/E5</f>
        <v>4.9316452362531345E-5</v>
      </c>
      <c r="G32">
        <f>ROUNDDOWN(F32*E6,0)</f>
        <v>8</v>
      </c>
      <c r="H32" s="4">
        <v>9192862</v>
      </c>
      <c r="I32" s="7">
        <f t="shared" si="3"/>
        <v>4738.5886597938143</v>
      </c>
      <c r="J32" s="7">
        <f t="shared" si="0"/>
        <v>37908.709278350514</v>
      </c>
      <c r="K32" s="8">
        <v>783</v>
      </c>
      <c r="L32" s="3">
        <f>K32/E5</f>
        <v>1.9904526907145381E-5</v>
      </c>
      <c r="M32" s="8">
        <f>ROUNDDOWN(L32*E6,0)</f>
        <v>3</v>
      </c>
      <c r="N32" s="4">
        <v>5935941</v>
      </c>
      <c r="O32" s="10">
        <f t="shared" si="1"/>
        <v>7581.022988505747</v>
      </c>
      <c r="P32" s="7">
        <f t="shared" si="2"/>
        <v>22743.068965517239</v>
      </c>
    </row>
    <row r="33" spans="2:16" s="2" customFormat="1" x14ac:dyDescent="0.3">
      <c r="B33" s="12" t="s">
        <v>108</v>
      </c>
      <c r="C33" t="s">
        <v>43</v>
      </c>
      <c r="D33" t="s">
        <v>21</v>
      </c>
      <c r="E33" s="1"/>
      <c r="F33" s="3">
        <f>E33/E5</f>
        <v>0</v>
      </c>
      <c r="G33">
        <f>ROUNDDOWN(F33*E6,0)</f>
        <v>0</v>
      </c>
      <c r="H33" s="4"/>
      <c r="I33" s="7" t="e">
        <f t="shared" si="3"/>
        <v>#DIV/0!</v>
      </c>
      <c r="J33" s="7" t="e">
        <f t="shared" si="0"/>
        <v>#DIV/0!</v>
      </c>
      <c r="K33" s="8"/>
      <c r="L33" s="3">
        <f>K33/E5</f>
        <v>0</v>
      </c>
      <c r="M33" s="8">
        <f>ROUNDDOWN(L33*E6,0)</f>
        <v>0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108</v>
      </c>
      <c r="C34" t="s">
        <v>13</v>
      </c>
      <c r="D34" t="s">
        <v>21</v>
      </c>
      <c r="E34" s="1">
        <v>0</v>
      </c>
      <c r="F34" s="3">
        <f>E34/E5</f>
        <v>0</v>
      </c>
      <c r="G34">
        <f>ROUNDDOWN(F34*E6,0)</f>
        <v>0</v>
      </c>
      <c r="H34" s="4">
        <v>0</v>
      </c>
      <c r="I34" s="7" t="e">
        <f t="shared" si="3"/>
        <v>#DIV/0!</v>
      </c>
      <c r="J34" s="7" t="e">
        <f t="shared" si="0"/>
        <v>#DIV/0!</v>
      </c>
      <c r="K34" s="8">
        <v>0</v>
      </c>
      <c r="L34" s="3">
        <f>K34/E5</f>
        <v>0</v>
      </c>
      <c r="M34" s="8">
        <f>ROUNDDOWN(L34*E6,0)</f>
        <v>0</v>
      </c>
      <c r="N34" s="4">
        <v>0</v>
      </c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s="12" t="s">
        <v>108</v>
      </c>
      <c r="C35" t="s">
        <v>44</v>
      </c>
      <c r="D35" t="s">
        <v>21</v>
      </c>
      <c r="E35" s="1">
        <v>1627</v>
      </c>
      <c r="F35" s="3">
        <f>E35/E5</f>
        <v>4.1359725770019842E-5</v>
      </c>
      <c r="G35">
        <f>ROUNDDOWN(F35*E6,0)</f>
        <v>7</v>
      </c>
      <c r="H35" s="4">
        <v>3121081</v>
      </c>
      <c r="I35" s="7">
        <f t="shared" si="3"/>
        <v>1918.3042409342347</v>
      </c>
      <c r="J35" s="7">
        <f t="shared" si="0"/>
        <v>13428.129686539643</v>
      </c>
      <c r="K35" s="8">
        <v>521</v>
      </c>
      <c r="L35" s="3">
        <f>K35/E5</f>
        <v>1.3244263753030325E-5</v>
      </c>
      <c r="M35" s="8">
        <f>ROUNDDOWN(L35*E6,0)</f>
        <v>2</v>
      </c>
      <c r="N35" s="4">
        <v>2008047</v>
      </c>
      <c r="O35" s="10">
        <f t="shared" si="1"/>
        <v>3854.2168905950098</v>
      </c>
      <c r="P35" s="7">
        <f t="shared" si="2"/>
        <v>7708.4337811900195</v>
      </c>
    </row>
    <row r="36" spans="2:16" s="2" customFormat="1" x14ac:dyDescent="0.3">
      <c r="B36" s="12" t="s">
        <v>108</v>
      </c>
      <c r="C36" t="s">
        <v>14</v>
      </c>
      <c r="D36" t="s">
        <v>21</v>
      </c>
      <c r="E36" s="1">
        <f>2412+29</f>
        <v>2441</v>
      </c>
      <c r="F36" s="3">
        <f>E36/E5</f>
        <v>6.2052299080896396E-5</v>
      </c>
      <c r="G36">
        <f>ROUNDDOWN(F36*E6,0)</f>
        <v>11</v>
      </c>
      <c r="H36" s="4">
        <f>1571047+7358</f>
        <v>1578405</v>
      </c>
      <c r="I36" s="7">
        <f t="shared" si="3"/>
        <v>646.62228594838177</v>
      </c>
      <c r="J36" s="7">
        <f t="shared" si="0"/>
        <v>7112.8451454321994</v>
      </c>
      <c r="K36" s="8">
        <f>1148+13</f>
        <v>1161</v>
      </c>
      <c r="L36" s="3">
        <f>K36/E5</f>
        <v>2.9513608862319015E-5</v>
      </c>
      <c r="M36" s="8">
        <f>ROUNDDOWN(L36*E6,0)</f>
        <v>5</v>
      </c>
      <c r="N36" s="4">
        <v>1064747</v>
      </c>
      <c r="O36" s="10">
        <f t="shared" si="1"/>
        <v>917.09474590869945</v>
      </c>
      <c r="P36" s="7">
        <f t="shared" si="2"/>
        <v>4585.473729543497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52104</v>
      </c>
      <c r="I38" s="7">
        <f t="shared" si="3"/>
        <v>0</v>
      </c>
      <c r="J38" s="7">
        <f t="shared" si="0"/>
        <v>0</v>
      </c>
      <c r="L38" s="3"/>
      <c r="M38" s="3"/>
      <c r="N38" s="10"/>
      <c r="O38" s="10"/>
    </row>
    <row r="40" spans="2:16" x14ac:dyDescent="0.3">
      <c r="C40" t="s">
        <v>76</v>
      </c>
    </row>
    <row r="41" spans="2:16" x14ac:dyDescent="0.3">
      <c r="C41" t="s">
        <v>77</v>
      </c>
    </row>
  </sheetData>
  <phoneticPr fontId="1" type="noConversion"/>
  <hyperlinks>
    <hyperlink ref="B7" r:id="rId1" location="?s=47" display="https://www.ic3.gov/Media/PDF/AnnualReport/2017State/StateReport.aspx#?s=47" xr:uid="{E8D09D7D-A7F8-45C4-AA7C-156342FA91C4}"/>
    <hyperlink ref="B8:B36" r:id="rId2" location="?s=47" display="https://www.ic3.gov/Media/PDF/AnnualReport/2017State/StateReport.aspx#?s=47" xr:uid="{40C9B3BA-1402-46C8-8DE6-115021A522CE}"/>
    <hyperlink ref="B5" r:id="rId3" xr:uid="{C619D5FB-B1C6-461D-9C54-BF728142D5D0}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4F665-8045-46B2-805C-B8E0D86E609D}">
  <dimension ref="B4:P39"/>
  <sheetViews>
    <sheetView topLeftCell="M1" workbookViewId="0">
      <selection activeCell="H20" sqref="H20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hidden="1" customWidth="1"/>
    <col min="5" max="5" width="13.44140625" hidden="1" customWidth="1"/>
    <col min="6" max="6" width="24.6640625" hidden="1" customWidth="1"/>
    <col min="7" max="7" width="48.88671875" hidden="1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102</v>
      </c>
      <c r="D5" t="s">
        <v>7</v>
      </c>
      <c r="E5" s="1">
        <v>39437463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75</v>
      </c>
      <c r="D6" t="s">
        <v>7</v>
      </c>
      <c r="E6" s="13">
        <v>181918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109</v>
      </c>
      <c r="C7" t="s">
        <v>25</v>
      </c>
      <c r="D7" t="s">
        <v>21</v>
      </c>
      <c r="E7" s="1">
        <v>1854</v>
      </c>
      <c r="F7" s="3">
        <v>4.7011137607913597E-5</v>
      </c>
      <c r="G7" s="1">
        <v>8</v>
      </c>
      <c r="H7" s="10">
        <v>16244343</v>
      </c>
      <c r="I7" s="7">
        <f>H7/E7</f>
        <v>8761.7815533980574</v>
      </c>
      <c r="J7" s="7">
        <f>I7*G7</f>
        <v>70094.25242718446</v>
      </c>
      <c r="K7" s="1">
        <v>1134</v>
      </c>
      <c r="L7" s="3">
        <f>K7/$E$5</f>
        <v>2.8754385138820924E-5</v>
      </c>
      <c r="M7" s="1">
        <f>ROUNDDOWN(L7*$E$6,0)</f>
        <v>5</v>
      </c>
      <c r="N7" s="10">
        <v>6225472</v>
      </c>
      <c r="O7" s="10">
        <f>N7/K7</f>
        <v>5489.8342151675488</v>
      </c>
      <c r="P7" s="7">
        <f>M7*O7</f>
        <v>27449.171075837745</v>
      </c>
    </row>
    <row r="8" spans="2:16" s="2" customFormat="1" x14ac:dyDescent="0.3">
      <c r="B8" s="12" t="s">
        <v>109</v>
      </c>
      <c r="C8" t="s">
        <v>23</v>
      </c>
      <c r="D8" t="s">
        <v>21</v>
      </c>
      <c r="E8" s="1">
        <v>3032</v>
      </c>
      <c r="F8" s="3">
        <v>7.6881213175401307E-5</v>
      </c>
      <c r="G8" s="1">
        <v>13</v>
      </c>
      <c r="H8" s="10">
        <v>190033205</v>
      </c>
      <c r="I8" s="7">
        <f>H8/E8</f>
        <v>62675.859168865434</v>
      </c>
      <c r="J8" s="7">
        <f t="shared" ref="J8:J18" si="0">I8*G8</f>
        <v>814786.16919525061</v>
      </c>
      <c r="K8" s="1">
        <v>464</v>
      </c>
      <c r="L8" s="3">
        <f>K8/$E$5</f>
        <v>1.1765462702304152E-5</v>
      </c>
      <c r="M8" s="1">
        <f>ROUNDDOWN(L8*$E$6,0)</f>
        <v>2</v>
      </c>
      <c r="N8" s="10">
        <v>32314208</v>
      </c>
      <c r="O8" s="10">
        <f t="shared" ref="O8:O36" si="1">N8/K8</f>
        <v>69642.68965517242</v>
      </c>
      <c r="P8" s="7">
        <f t="shared" ref="P8:P36" si="2">M8*O8</f>
        <v>139285.37931034484</v>
      </c>
    </row>
    <row r="9" spans="2:16" s="2" customFormat="1" x14ac:dyDescent="0.3">
      <c r="B9" s="12" t="s">
        <v>109</v>
      </c>
      <c r="C9" t="s">
        <v>26</v>
      </c>
      <c r="D9" t="s">
        <v>21</v>
      </c>
      <c r="E9" s="1"/>
      <c r="F9" s="3">
        <v>0</v>
      </c>
      <c r="G9" s="1">
        <v>0</v>
      </c>
      <c r="H9" s="10"/>
      <c r="I9" s="7" t="e">
        <f t="shared" ref="I9:I38" si="3">H9/E9</f>
        <v>#DIV/0!</v>
      </c>
      <c r="J9" s="7" t="e">
        <f t="shared" si="0"/>
        <v>#DIV/0!</v>
      </c>
      <c r="K9" s="1"/>
      <c r="L9" s="3">
        <f>K9/$E$5</f>
        <v>0</v>
      </c>
      <c r="M9" s="1">
        <f>ROUNDDOWN(L9*$E$6,0)</f>
        <v>0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s="12" t="s">
        <v>109</v>
      </c>
      <c r="C10" t="s">
        <v>27</v>
      </c>
      <c r="D10" t="s">
        <v>21</v>
      </c>
      <c r="E10" s="1">
        <v>2105</v>
      </c>
      <c r="F10" s="3">
        <v>5.3375644371444498E-5</v>
      </c>
      <c r="G10" s="1">
        <v>9</v>
      </c>
      <c r="H10" s="10">
        <v>72355475</v>
      </c>
      <c r="I10" s="7">
        <f t="shared" si="3"/>
        <v>34373.147268408553</v>
      </c>
      <c r="J10" s="7">
        <f t="shared" si="0"/>
        <v>309358.32541567698</v>
      </c>
      <c r="K10" s="1">
        <v>1045</v>
      </c>
      <c r="L10" s="3">
        <f>K10/$E$5</f>
        <v>2.6497647680835858E-5</v>
      </c>
      <c r="M10" s="1">
        <f>ROUNDDOWN(L10*$E$6,0)</f>
        <v>4</v>
      </c>
      <c r="N10" s="10">
        <v>44632796</v>
      </c>
      <c r="O10" s="10">
        <f t="shared" si="1"/>
        <v>42710.809569377991</v>
      </c>
      <c r="P10" s="7">
        <f t="shared" si="2"/>
        <v>170843.23827751196</v>
      </c>
    </row>
    <row r="11" spans="2:16" s="2" customFormat="1" x14ac:dyDescent="0.3">
      <c r="B11" s="12" t="s">
        <v>109</v>
      </c>
      <c r="C11" t="s">
        <v>115</v>
      </c>
      <c r="D11" t="s">
        <v>21</v>
      </c>
      <c r="E11" s="1"/>
      <c r="F11" s="3">
        <v>0</v>
      </c>
      <c r="G11" s="1">
        <v>0</v>
      </c>
      <c r="H11" s="11">
        <v>16616018</v>
      </c>
      <c r="I11" s="7" t="e">
        <f t="shared" si="3"/>
        <v>#DIV/0!</v>
      </c>
      <c r="J11" s="7" t="e">
        <f t="shared" si="0"/>
        <v>#DIV/0!</v>
      </c>
      <c r="K11" s="1">
        <v>861</v>
      </c>
      <c r="L11" s="3">
        <f>K11/$E$5</f>
        <v>2.1832033160956627E-5</v>
      </c>
      <c r="M11" s="1">
        <f>ROUNDDOWN(L11*$E$6,0)</f>
        <v>3</v>
      </c>
      <c r="N11" s="10">
        <v>9737494</v>
      </c>
      <c r="O11" s="10">
        <f t="shared" si="1"/>
        <v>11309.516840882694</v>
      </c>
      <c r="P11" s="7">
        <f t="shared" si="2"/>
        <v>33928.550522648082</v>
      </c>
    </row>
    <row r="12" spans="2:16" s="2" customFormat="1" x14ac:dyDescent="0.3">
      <c r="B12" s="12" t="s">
        <v>109</v>
      </c>
      <c r="C12" t="s">
        <v>4</v>
      </c>
      <c r="D12" t="s">
        <v>21</v>
      </c>
      <c r="E12" s="1">
        <v>134</v>
      </c>
      <c r="F12" s="3">
        <v>3.3977844873033501E-6</v>
      </c>
      <c r="G12" s="1">
        <v>0</v>
      </c>
      <c r="H12" s="10">
        <v>11540</v>
      </c>
      <c r="I12" s="7">
        <f>H12/E12</f>
        <v>86.119402985074629</v>
      </c>
      <c r="J12" s="7">
        <f t="shared" si="0"/>
        <v>0</v>
      </c>
      <c r="K12" s="1">
        <v>46</v>
      </c>
      <c r="L12" s="3">
        <f>K12/$E$5</f>
        <v>1.1664036299698081E-6</v>
      </c>
      <c r="M12" s="1">
        <f>ROUNDDOWN(L12*$E$6,0)</f>
        <v>0</v>
      </c>
      <c r="N12" s="10">
        <v>247032</v>
      </c>
      <c r="O12" s="10">
        <f t="shared" si="1"/>
        <v>5370.260869565217</v>
      </c>
      <c r="P12" s="7">
        <f t="shared" si="2"/>
        <v>0</v>
      </c>
    </row>
    <row r="13" spans="2:16" s="2" customFormat="1" x14ac:dyDescent="0.3">
      <c r="B13" s="12" t="s">
        <v>109</v>
      </c>
      <c r="C13" t="s">
        <v>5</v>
      </c>
      <c r="D13" t="s">
        <v>21</v>
      </c>
      <c r="E13" s="1">
        <v>385</v>
      </c>
      <c r="F13" s="3">
        <v>9.7622912508342605E-6</v>
      </c>
      <c r="G13" s="1">
        <v>1</v>
      </c>
      <c r="H13" s="10">
        <v>12907998</v>
      </c>
      <c r="I13" s="16">
        <f>H13/E13</f>
        <v>33527.267532467529</v>
      </c>
      <c r="J13" s="7">
        <f t="shared" si="0"/>
        <v>33527.267532467529</v>
      </c>
      <c r="K13" s="1">
        <v>98</v>
      </c>
      <c r="L13" s="3">
        <f>K13/$E$5</f>
        <v>2.4849468638487219E-6</v>
      </c>
      <c r="M13" s="1">
        <f>ROUNDDOWN(L13*$E$6,0)</f>
        <v>0</v>
      </c>
      <c r="N13" s="10"/>
      <c r="O13" s="10">
        <f t="shared" si="1"/>
        <v>0</v>
      </c>
      <c r="P13" s="7">
        <f t="shared" si="2"/>
        <v>0</v>
      </c>
    </row>
    <row r="14" spans="2:16" s="2" customFormat="1" x14ac:dyDescent="0.3">
      <c r="B14" s="12" t="s">
        <v>109</v>
      </c>
      <c r="C14" t="s">
        <v>29</v>
      </c>
      <c r="D14" t="s">
        <v>21</v>
      </c>
      <c r="E14" s="1">
        <v>2153</v>
      </c>
      <c r="F14" s="3">
        <v>5.4592761202717302E-5</v>
      </c>
      <c r="G14" s="1">
        <v>9</v>
      </c>
      <c r="H14" s="10">
        <v>8608720</v>
      </c>
      <c r="I14" s="7">
        <f t="shared" si="3"/>
        <v>3998.4765443567117</v>
      </c>
      <c r="J14" s="7">
        <f t="shared" si="0"/>
        <v>35986.288899210405</v>
      </c>
      <c r="K14" s="1">
        <v>1017</v>
      </c>
      <c r="L14" s="3">
        <f>K14/$E$5</f>
        <v>2.5787662862593366E-5</v>
      </c>
      <c r="M14" s="1">
        <f>ROUNDDOWN(L14*$E$6,0)</f>
        <v>4</v>
      </c>
      <c r="N14" s="11">
        <v>4429941</v>
      </c>
      <c r="O14" s="9"/>
      <c r="P14" s="7">
        <f t="shared" si="2"/>
        <v>0</v>
      </c>
    </row>
    <row r="15" spans="2:16" s="2" customFormat="1" x14ac:dyDescent="0.3">
      <c r="B15" s="12" t="s">
        <v>109</v>
      </c>
      <c r="C15" t="s">
        <v>8</v>
      </c>
      <c r="D15" t="s">
        <v>21</v>
      </c>
      <c r="E15" s="1">
        <v>8193</v>
      </c>
      <c r="F15" s="3">
        <v>2.0774662913788301E-4</v>
      </c>
      <c r="G15" s="1">
        <v>37</v>
      </c>
      <c r="H15" s="10">
        <v>24641667</v>
      </c>
      <c r="I15" s="7">
        <f t="shared" si="3"/>
        <v>3007.6488465763455</v>
      </c>
      <c r="J15" s="7">
        <f t="shared" si="0"/>
        <v>111283.00732332478</v>
      </c>
      <c r="K15" s="1">
        <v>875</v>
      </c>
      <c r="L15" s="3">
        <f>K15/$E$5</f>
        <v>2.2187025570077871E-5</v>
      </c>
      <c r="M15" s="1">
        <f>ROUNDDOWN(L15*$E$6,0)</f>
        <v>4</v>
      </c>
      <c r="N15" s="11">
        <v>1008949</v>
      </c>
      <c r="O15" s="9"/>
      <c r="P15" s="7">
        <f t="shared" si="2"/>
        <v>0</v>
      </c>
    </row>
    <row r="16" spans="2:16" s="2" customFormat="1" x14ac:dyDescent="0.3">
      <c r="B16" s="12" t="s">
        <v>109</v>
      </c>
      <c r="C16" t="s">
        <v>30</v>
      </c>
      <c r="D16" t="s">
        <v>21</v>
      </c>
      <c r="E16" s="1">
        <v>1389</v>
      </c>
      <c r="F16" s="3">
        <v>3.5220318304957897E-5</v>
      </c>
      <c r="G16" s="1">
        <v>6</v>
      </c>
      <c r="H16" s="11">
        <v>19356458</v>
      </c>
      <c r="I16" s="7">
        <f t="shared" si="3"/>
        <v>13935.534917206624</v>
      </c>
      <c r="J16" s="7">
        <f t="shared" si="0"/>
        <v>83613.209503239748</v>
      </c>
      <c r="K16" s="1">
        <v>252</v>
      </c>
      <c r="L16" s="3">
        <f>K16/$E$5</f>
        <v>6.3898633641824273E-6</v>
      </c>
      <c r="M16" s="1">
        <f>ROUNDDOWN(L16*$E$6,0)</f>
        <v>1</v>
      </c>
      <c r="N16" s="10">
        <v>3276305</v>
      </c>
      <c r="O16" s="10">
        <f t="shared" si="1"/>
        <v>13001.210317460318</v>
      </c>
      <c r="P16" s="7">
        <f t="shared" si="2"/>
        <v>13001.210317460318</v>
      </c>
    </row>
    <row r="17" spans="2:16" s="2" customFormat="1" x14ac:dyDescent="0.3">
      <c r="B17" s="12" t="s">
        <v>109</v>
      </c>
      <c r="C17" t="s">
        <v>31</v>
      </c>
      <c r="D17" t="s">
        <v>21</v>
      </c>
      <c r="E17" s="1"/>
      <c r="F17" s="3">
        <v>0</v>
      </c>
      <c r="G17" s="1">
        <v>0</v>
      </c>
      <c r="H17" s="10"/>
      <c r="I17" s="7" t="e">
        <f t="shared" si="3"/>
        <v>#DIV/0!</v>
      </c>
      <c r="J17" s="7" t="e">
        <f t="shared" si="0"/>
        <v>#DIV/0!</v>
      </c>
      <c r="K17" s="1"/>
      <c r="L17" s="3">
        <f>K17/$E$5</f>
        <v>0</v>
      </c>
      <c r="M17" s="1">
        <f>ROUNDDOWN(L17*$E$6,0)</f>
        <v>0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s="12" t="s">
        <v>109</v>
      </c>
      <c r="C18" t="s">
        <v>32</v>
      </c>
      <c r="D18" t="s">
        <v>21</v>
      </c>
      <c r="E18" s="1">
        <v>337</v>
      </c>
      <c r="F18" s="3">
        <v>8.5451744195614206E-6</v>
      </c>
      <c r="G18" s="1">
        <v>1</v>
      </c>
      <c r="H18" s="10">
        <v>1644275</v>
      </c>
      <c r="I18" s="7">
        <f t="shared" si="3"/>
        <v>4879.1543026706231</v>
      </c>
      <c r="J18" s="7">
        <f t="shared" si="0"/>
        <v>4879.1543026706231</v>
      </c>
      <c r="K18" s="1">
        <v>167</v>
      </c>
      <c r="L18" s="3">
        <f>K18/$E$5</f>
        <v>4.2345523088034339E-6</v>
      </c>
      <c r="M18" s="1">
        <f>ROUNDDOWN(L18*$E$6,0)</f>
        <v>0</v>
      </c>
      <c r="N18" s="11">
        <v>758287</v>
      </c>
      <c r="O18" s="9"/>
      <c r="P18" s="7">
        <f t="shared" si="2"/>
        <v>0</v>
      </c>
    </row>
    <row r="19" spans="2:16" s="2" customFormat="1" x14ac:dyDescent="0.3">
      <c r="B19" s="12" t="s">
        <v>109</v>
      </c>
      <c r="C19" t="s">
        <v>33</v>
      </c>
      <c r="D19" t="s">
        <v>21</v>
      </c>
      <c r="E19" s="1">
        <v>2102</v>
      </c>
      <c r="F19" s="3">
        <v>5.3299574569489899E-5</v>
      </c>
      <c r="G19" s="1">
        <v>9</v>
      </c>
      <c r="H19" s="10">
        <v>25815846</v>
      </c>
      <c r="I19" s="7">
        <f t="shared" si="3"/>
        <v>12281.563273073263</v>
      </c>
      <c r="J19" s="7">
        <f t="shared" ref="J8:J38" si="4">I19*G19</f>
        <v>110534.06945765937</v>
      </c>
      <c r="K19" s="1">
        <v>731</v>
      </c>
      <c r="L19" s="3">
        <f>K19/$E$5</f>
        <v>1.8535675076259343E-5</v>
      </c>
      <c r="M19" s="1">
        <f>ROUNDDOWN(L19*$E$6,0)</f>
        <v>3</v>
      </c>
      <c r="N19" s="10">
        <v>9105375</v>
      </c>
      <c r="O19" s="10">
        <f t="shared" si="1"/>
        <v>12456.053351573188</v>
      </c>
      <c r="P19" s="7">
        <f t="shared" si="2"/>
        <v>37368.160054719563</v>
      </c>
    </row>
    <row r="20" spans="2:16" s="2" customFormat="1" x14ac:dyDescent="0.3">
      <c r="B20" s="12" t="s">
        <v>109</v>
      </c>
      <c r="C20" t="s">
        <v>34</v>
      </c>
      <c r="D20" t="s">
        <v>21</v>
      </c>
      <c r="E20" s="1">
        <v>379</v>
      </c>
      <c r="F20" s="3">
        <v>9.6101516469251599E-6</v>
      </c>
      <c r="G20" s="1">
        <v>1</v>
      </c>
      <c r="H20" s="10">
        <v>33707734</v>
      </c>
      <c r="I20" s="7">
        <f t="shared" si="3"/>
        <v>88938.612137203163</v>
      </c>
      <c r="J20" s="7">
        <f t="shared" si="4"/>
        <v>88938.612137203163</v>
      </c>
      <c r="K20" s="1">
        <v>246</v>
      </c>
      <c r="L20" s="3">
        <f>K20/$E$5</f>
        <v>6.2377237602733217E-6</v>
      </c>
      <c r="M20" s="1">
        <f>ROUNDDOWN(L20*$E$6,0)</f>
        <v>1</v>
      </c>
      <c r="N20" s="10">
        <v>38192346</v>
      </c>
      <c r="O20" s="10">
        <f t="shared" si="1"/>
        <v>155253.43902439025</v>
      </c>
      <c r="P20" s="7">
        <f t="shared" si="2"/>
        <v>155253.43902439025</v>
      </c>
    </row>
    <row r="21" spans="2:16" s="2" customFormat="1" x14ac:dyDescent="0.3">
      <c r="B21" s="12" t="s">
        <v>109</v>
      </c>
      <c r="C21" t="s">
        <v>35</v>
      </c>
      <c r="D21" t="s">
        <v>21</v>
      </c>
      <c r="E21" s="1">
        <v>635</v>
      </c>
      <c r="F21" s="3">
        <v>1.6101441413713701E-5</v>
      </c>
      <c r="G21" s="1">
        <v>2</v>
      </c>
      <c r="H21" s="10"/>
      <c r="I21" s="7">
        <f t="shared" si="3"/>
        <v>0</v>
      </c>
      <c r="J21" s="7">
        <f t="shared" si="4"/>
        <v>0</v>
      </c>
      <c r="K21" s="1">
        <v>256</v>
      </c>
      <c r="L21" s="3">
        <f>K21/$E$5</f>
        <v>6.4912897667884974E-6</v>
      </c>
      <c r="M21" s="1">
        <f>ROUNDDOWN(L21*$E$6,0)</f>
        <v>1</v>
      </c>
      <c r="N21" s="10">
        <v>3818887</v>
      </c>
      <c r="O21" s="10">
        <f t="shared" si="1"/>
        <v>14917.52734375</v>
      </c>
      <c r="P21" s="7">
        <f t="shared" si="2"/>
        <v>14917.52734375</v>
      </c>
    </row>
    <row r="22" spans="2:16" s="2" customFormat="1" x14ac:dyDescent="0.3">
      <c r="B22" s="12" t="s">
        <v>109</v>
      </c>
      <c r="C22" t="s">
        <v>9</v>
      </c>
      <c r="D22" t="s">
        <v>21</v>
      </c>
      <c r="E22" s="1">
        <v>414</v>
      </c>
      <c r="F22" s="3">
        <v>1.0497632669728299E-5</v>
      </c>
      <c r="G22" s="1">
        <v>1</v>
      </c>
      <c r="H22" s="10">
        <v>269097</v>
      </c>
      <c r="I22" s="7">
        <f t="shared" si="3"/>
        <v>649.99275362318838</v>
      </c>
      <c r="J22" s="7">
        <f t="shared" si="4"/>
        <v>649.99275362318838</v>
      </c>
      <c r="K22" s="1"/>
      <c r="L22" s="3">
        <f>K22/$E$5</f>
        <v>0</v>
      </c>
      <c r="M22" s="1">
        <f>ROUNDDOWN(L22*$E$6,0)</f>
        <v>0</v>
      </c>
      <c r="N22" s="10">
        <v>35732</v>
      </c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s="12" t="s">
        <v>109</v>
      </c>
      <c r="C23" t="s">
        <v>36</v>
      </c>
      <c r="D23" t="s">
        <v>21</v>
      </c>
      <c r="E23" s="1"/>
      <c r="F23" s="3">
        <v>0</v>
      </c>
      <c r="G23" s="1">
        <v>0</v>
      </c>
      <c r="H23" s="10"/>
      <c r="I23" s="7" t="e">
        <f t="shared" si="3"/>
        <v>#DIV/0!</v>
      </c>
      <c r="J23" s="7" t="e">
        <f t="shared" si="4"/>
        <v>#DIV/0!</v>
      </c>
      <c r="K23" s="1"/>
      <c r="L23" s="3">
        <f>K23/$E$5</f>
        <v>0</v>
      </c>
      <c r="M23" s="1">
        <f>ROUNDDOWN(L23*$E$6,0)</f>
        <v>0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s="12" t="s">
        <v>109</v>
      </c>
      <c r="C24" t="s">
        <v>37</v>
      </c>
      <c r="D24" t="s">
        <v>21</v>
      </c>
      <c r="E24" s="1"/>
      <c r="F24" s="3">
        <v>0</v>
      </c>
      <c r="G24" s="1">
        <v>0</v>
      </c>
      <c r="H24" s="10"/>
      <c r="I24" s="7" t="e">
        <f t="shared" si="3"/>
        <v>#DIV/0!</v>
      </c>
      <c r="J24" s="7" t="e">
        <f t="shared" si="4"/>
        <v>#DIV/0!</v>
      </c>
      <c r="K24" s="1"/>
      <c r="L24" s="3">
        <f>K24/$E$5</f>
        <v>0</v>
      </c>
      <c r="M24" s="1">
        <f>ROUNDDOWN(L24*$E$6,0)</f>
        <v>0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s="12" t="s">
        <v>109</v>
      </c>
      <c r="C25" t="s">
        <v>38</v>
      </c>
      <c r="D25" t="s">
        <v>21</v>
      </c>
      <c r="E25" s="1">
        <v>5868</v>
      </c>
      <c r="F25" s="3">
        <v>1.4879253262310501E-4</v>
      </c>
      <c r="G25" s="1">
        <v>27</v>
      </c>
      <c r="H25" s="10">
        <v>70150</v>
      </c>
      <c r="I25" s="7">
        <f t="shared" si="3"/>
        <v>11.954669393319699</v>
      </c>
      <c r="J25" s="7">
        <f t="shared" si="4"/>
        <v>322.77607361963186</v>
      </c>
      <c r="K25" s="1">
        <v>820</v>
      </c>
      <c r="L25" s="3">
        <f>K25/$E$5</f>
        <v>2.0792412534244406E-5</v>
      </c>
      <c r="M25" s="1">
        <f>ROUNDDOWN(L25*$E$6,0)</f>
        <v>3</v>
      </c>
      <c r="N25" s="10"/>
      <c r="O25" s="10">
        <f t="shared" si="1"/>
        <v>0</v>
      </c>
      <c r="P25" s="7">
        <f t="shared" si="2"/>
        <v>0</v>
      </c>
    </row>
    <row r="26" spans="2:16" s="2" customFormat="1" x14ac:dyDescent="0.3">
      <c r="B26" s="12" t="s">
        <v>109</v>
      </c>
      <c r="C26" t="s">
        <v>39</v>
      </c>
      <c r="D26" t="s">
        <v>21</v>
      </c>
      <c r="E26" s="1">
        <v>8676</v>
      </c>
      <c r="F26" s="3">
        <v>2.1999386725256599E-4</v>
      </c>
      <c r="G26" s="1">
        <v>40</v>
      </c>
      <c r="H26" s="10">
        <v>26046807</v>
      </c>
      <c r="I26" s="7">
        <f t="shared" si="3"/>
        <v>3002.1677040110649</v>
      </c>
      <c r="J26" s="7">
        <f t="shared" si="4"/>
        <v>120086.70816044259</v>
      </c>
      <c r="K26" s="1">
        <v>3924</v>
      </c>
      <c r="L26" s="3">
        <f>K26/$E$5</f>
        <v>9.9499300956554942E-5</v>
      </c>
      <c r="M26" s="1">
        <f>ROUNDDOWN(L26*$E$6,0)</f>
        <v>18</v>
      </c>
      <c r="N26" s="10">
        <v>18266248</v>
      </c>
      <c r="O26" s="10">
        <f t="shared" si="1"/>
        <v>4655.0071355759428</v>
      </c>
      <c r="P26" s="7">
        <f t="shared" si="2"/>
        <v>83790.128440366971</v>
      </c>
    </row>
    <row r="27" spans="2:16" s="2" customFormat="1" x14ac:dyDescent="0.3">
      <c r="B27" s="12" t="s">
        <v>109</v>
      </c>
      <c r="C27" t="s">
        <v>40</v>
      </c>
      <c r="D27" t="s">
        <v>21</v>
      </c>
      <c r="E27" s="1">
        <v>1297</v>
      </c>
      <c r="F27" s="3">
        <v>3.28875110450183E-5</v>
      </c>
      <c r="G27" s="1">
        <v>5</v>
      </c>
      <c r="H27" s="10">
        <v>4841038</v>
      </c>
      <c r="I27" s="7">
        <f t="shared" si="3"/>
        <v>3732.4888203546648</v>
      </c>
      <c r="J27" s="7">
        <f t="shared" si="4"/>
        <v>18662.444101773322</v>
      </c>
      <c r="K27" s="1">
        <v>826</v>
      </c>
      <c r="L27" s="3">
        <f>K27/$E$5</f>
        <v>2.0944552138153511E-5</v>
      </c>
      <c r="M27" s="1">
        <f>ROUNDDOWN(L27*$E$6,0)</f>
        <v>3</v>
      </c>
      <c r="N27" s="10">
        <v>2300320</v>
      </c>
      <c r="O27" s="10">
        <f>N27/K27</f>
        <v>2784.8910411622278</v>
      </c>
      <c r="P27" s="7">
        <f t="shared" si="2"/>
        <v>8354.6731234866838</v>
      </c>
    </row>
    <row r="28" spans="2:16" s="2" customFormat="1" x14ac:dyDescent="0.3">
      <c r="B28" s="12" t="s">
        <v>109</v>
      </c>
      <c r="C28" t="s">
        <v>41</v>
      </c>
      <c r="D28" t="s">
        <v>21</v>
      </c>
      <c r="E28" s="1">
        <v>2325</v>
      </c>
      <c r="F28" s="3">
        <v>5.8954096514778298E-5</v>
      </c>
      <c r="G28" s="1">
        <v>10</v>
      </c>
      <c r="H28" s="10">
        <v>9649604</v>
      </c>
      <c r="I28" s="7">
        <f t="shared" si="3"/>
        <v>4150.3673118279567</v>
      </c>
      <c r="J28" s="7">
        <f t="shared" si="4"/>
        <v>41503.673118279563</v>
      </c>
      <c r="K28" s="1">
        <v>1028</v>
      </c>
      <c r="L28" s="3">
        <f>K28/$E$5</f>
        <v>2.6066585469760059E-5</v>
      </c>
      <c r="M28" s="1">
        <f>ROUNDDOWN(L28*$E$6,0)</f>
        <v>4</v>
      </c>
      <c r="N28" s="10">
        <v>4946650</v>
      </c>
      <c r="O28" s="10">
        <f t="shared" si="1"/>
        <v>4811.9163424124517</v>
      </c>
      <c r="P28" s="7">
        <f>M28*O28</f>
        <v>19247.665369649807</v>
      </c>
    </row>
    <row r="29" spans="2:16" s="2" customFormat="1" x14ac:dyDescent="0.3">
      <c r="B29" s="12" t="s">
        <v>109</v>
      </c>
      <c r="C29" t="s">
        <v>10</v>
      </c>
      <c r="D29" t="s">
        <v>21</v>
      </c>
      <c r="E29" s="1">
        <v>7985</v>
      </c>
      <c r="F29" s="3">
        <v>2.0247245620236799E-4</v>
      </c>
      <c r="G29" s="1">
        <v>36</v>
      </c>
      <c r="H29" s="10">
        <v>26974510</v>
      </c>
      <c r="I29" s="7">
        <f t="shared" si="3"/>
        <v>3378.1477770820288</v>
      </c>
      <c r="J29" s="7">
        <f t="shared" si="4"/>
        <v>121613.31997495303</v>
      </c>
      <c r="K29" s="1">
        <v>2068</v>
      </c>
      <c r="L29" s="3">
        <f>K29/$E$5</f>
        <v>5.2437450147338329E-5</v>
      </c>
      <c r="M29" s="1">
        <f>ROUNDDOWN(L29*$E$6,0)</f>
        <v>9</v>
      </c>
      <c r="N29" s="10">
        <v>12780450</v>
      </c>
      <c r="O29" s="10">
        <f t="shared" si="1"/>
        <v>6180.101547388781</v>
      </c>
      <c r="P29" s="7">
        <f t="shared" si="2"/>
        <v>55620.91392649903</v>
      </c>
    </row>
    <row r="30" spans="2:16" s="2" customFormat="1" x14ac:dyDescent="0.3">
      <c r="B30" s="12" t="s">
        <v>109</v>
      </c>
      <c r="C30" t="s">
        <v>11</v>
      </c>
      <c r="D30" t="s">
        <v>21</v>
      </c>
      <c r="E30" s="1">
        <v>2757</v>
      </c>
      <c r="F30" s="3">
        <v>6.9908147996233902E-5</v>
      </c>
      <c r="G30" s="1">
        <v>12</v>
      </c>
      <c r="H30" s="10">
        <v>7177488</v>
      </c>
      <c r="I30" s="7">
        <f t="shared" si="3"/>
        <v>2603.3688792165399</v>
      </c>
      <c r="J30" s="7">
        <f t="shared" si="4"/>
        <v>31240.42655059848</v>
      </c>
      <c r="K30" s="1">
        <v>800</v>
      </c>
      <c r="L30" s="3">
        <f>K30/$E$5</f>
        <v>2.0285280521214056E-5</v>
      </c>
      <c r="M30" s="1">
        <f>ROUNDDOWN(L30*$E$6,0)</f>
        <v>3</v>
      </c>
      <c r="N30" s="10">
        <v>1064673</v>
      </c>
      <c r="O30" s="10">
        <f t="shared" si="1"/>
        <v>1330.8412499999999</v>
      </c>
      <c r="P30" s="7">
        <f t="shared" si="2"/>
        <v>3992.5237499999998</v>
      </c>
    </row>
    <row r="31" spans="2:16" s="2" customFormat="1" x14ac:dyDescent="0.3">
      <c r="B31" s="12" t="s">
        <v>109</v>
      </c>
      <c r="C31" t="s">
        <v>12</v>
      </c>
      <c r="D31" t="s">
        <v>21</v>
      </c>
      <c r="E31" s="1">
        <v>211</v>
      </c>
      <c r="F31" s="3">
        <v>5.3502427374702104E-6</v>
      </c>
      <c r="G31" s="1">
        <v>0</v>
      </c>
      <c r="H31" s="10">
        <v>127862</v>
      </c>
      <c r="I31" s="7">
        <f>H31/E31</f>
        <v>605.98104265402844</v>
      </c>
      <c r="J31" s="7">
        <f t="shared" si="4"/>
        <v>0</v>
      </c>
      <c r="K31" s="1">
        <v>19</v>
      </c>
      <c r="L31" s="3">
        <f>K31/$E$5</f>
        <v>4.8177541237883384E-7</v>
      </c>
      <c r="M31" s="1">
        <f>ROUNDDOWN(L31*$E$6,0)</f>
        <v>0</v>
      </c>
      <c r="N31" s="10">
        <v>146</v>
      </c>
      <c r="O31" s="10">
        <f t="shared" si="1"/>
        <v>7.6842105263157894</v>
      </c>
      <c r="P31" s="7">
        <f t="shared" si="2"/>
        <v>0</v>
      </c>
    </row>
    <row r="32" spans="2:16" s="2" customFormat="1" x14ac:dyDescent="0.3">
      <c r="B32" s="12" t="s">
        <v>109</v>
      </c>
      <c r="C32" t="s">
        <v>42</v>
      </c>
      <c r="D32" t="s">
        <v>21</v>
      </c>
      <c r="E32" s="1">
        <v>2234</v>
      </c>
      <c r="F32" s="3">
        <v>5.6646645855490202E-5</v>
      </c>
      <c r="G32" s="1">
        <v>10</v>
      </c>
      <c r="H32" s="10">
        <v>24961906</v>
      </c>
      <c r="I32" s="7">
        <f t="shared" si="3"/>
        <v>11173.637421665175</v>
      </c>
      <c r="J32" s="7">
        <f t="shared" si="4"/>
        <v>111736.37421665175</v>
      </c>
      <c r="K32" s="1">
        <v>894</v>
      </c>
      <c r="L32" s="3">
        <f>K32/$E$5</f>
        <v>2.2668800982456706E-5</v>
      </c>
      <c r="M32" s="1">
        <f>ROUNDDOWN(L32*$E$6,0)</f>
        <v>4</v>
      </c>
      <c r="N32" s="10">
        <v>10620224</v>
      </c>
      <c r="O32" s="10">
        <f t="shared" si="1"/>
        <v>11879.445190156599</v>
      </c>
      <c r="P32" s="7">
        <f t="shared" si="2"/>
        <v>47517.780760626396</v>
      </c>
    </row>
    <row r="33" spans="2:16" s="2" customFormat="1" x14ac:dyDescent="0.3">
      <c r="B33" s="12" t="s">
        <v>109</v>
      </c>
      <c r="C33" t="s">
        <v>43</v>
      </c>
      <c r="D33" t="s">
        <v>21</v>
      </c>
      <c r="E33" s="1"/>
      <c r="F33" s="3">
        <v>0</v>
      </c>
      <c r="G33" s="1">
        <v>0</v>
      </c>
      <c r="H33" s="10"/>
      <c r="I33" s="7" t="e">
        <f t="shared" si="3"/>
        <v>#DIV/0!</v>
      </c>
      <c r="J33" s="7" t="e">
        <f t="shared" si="4"/>
        <v>#DIV/0!</v>
      </c>
      <c r="K33" s="1"/>
      <c r="L33" s="3">
        <f>K33/$E$5</f>
        <v>0</v>
      </c>
      <c r="M33" s="1">
        <f>ROUNDDOWN(L33*$E$6,0)</f>
        <v>0</v>
      </c>
      <c r="N33" s="10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s="12" t="s">
        <v>109</v>
      </c>
      <c r="C34" t="s">
        <v>13</v>
      </c>
      <c r="D34" t="s">
        <v>21</v>
      </c>
      <c r="E34" s="1">
        <v>1614</v>
      </c>
      <c r="F34" s="3">
        <v>4.09255534515494E-5</v>
      </c>
      <c r="G34" s="1">
        <v>7</v>
      </c>
      <c r="H34" s="10">
        <v>14684620</v>
      </c>
      <c r="I34" s="7">
        <f t="shared" si="3"/>
        <v>9098.2775712515486</v>
      </c>
      <c r="J34" s="7">
        <f t="shared" si="4"/>
        <v>63687.942998760838</v>
      </c>
      <c r="K34" s="1">
        <v>497</v>
      </c>
      <c r="L34" s="3">
        <f>K34/$E$5</f>
        <v>1.2602230523804231E-5</v>
      </c>
      <c r="M34" s="1">
        <f>ROUNDDOWN(L34*$E$6,0)</f>
        <v>2</v>
      </c>
      <c r="N34" s="10">
        <v>3938008</v>
      </c>
      <c r="O34" s="10">
        <f t="shared" si="1"/>
        <v>7923.5573440643866</v>
      </c>
      <c r="P34" s="7">
        <f t="shared" si="2"/>
        <v>15847.114688128773</v>
      </c>
    </row>
    <row r="35" spans="2:16" s="2" customFormat="1" x14ac:dyDescent="0.3">
      <c r="B35" s="12" t="s">
        <v>109</v>
      </c>
      <c r="C35" t="s">
        <v>44</v>
      </c>
      <c r="D35" t="s">
        <v>21</v>
      </c>
      <c r="E35" s="1">
        <v>1974</v>
      </c>
      <c r="F35" s="3">
        <v>5.0053929686095703E-5</v>
      </c>
      <c r="G35" s="1">
        <v>9</v>
      </c>
      <c r="H35" s="10">
        <v>6815758</v>
      </c>
      <c r="I35" s="7">
        <f t="shared" si="3"/>
        <v>3452.7649442755824</v>
      </c>
      <c r="J35" s="7">
        <f t="shared" si="4"/>
        <v>31074.884498480242</v>
      </c>
      <c r="K35" s="1">
        <v>752</v>
      </c>
      <c r="L35" s="3">
        <f>K35/$E$5</f>
        <v>1.9068163689941211E-5</v>
      </c>
      <c r="M35" s="1">
        <f>ROUNDDOWN(L35*$E$6,0)</f>
        <v>3</v>
      </c>
      <c r="N35" s="10">
        <v>3258451</v>
      </c>
      <c r="O35" s="10">
        <f t="shared" si="1"/>
        <v>4333.0465425531911</v>
      </c>
      <c r="P35" s="7">
        <f t="shared" si="2"/>
        <v>12999.139627659573</v>
      </c>
    </row>
    <row r="36" spans="2:16" s="2" customFormat="1" x14ac:dyDescent="0.3">
      <c r="B36" s="12" t="s">
        <v>109</v>
      </c>
      <c r="C36" t="s">
        <v>113</v>
      </c>
      <c r="D36" t="s">
        <v>21</v>
      </c>
      <c r="E36" s="1">
        <v>2704</v>
      </c>
      <c r="F36" s="3">
        <v>6.8564248161703497E-5</v>
      </c>
      <c r="G36" s="1">
        <v>12</v>
      </c>
      <c r="H36" s="10">
        <v>3946923</v>
      </c>
      <c r="I36" s="7">
        <f t="shared" si="3"/>
        <v>1459.6608727810651</v>
      </c>
      <c r="J36" s="7">
        <f t="shared" si="4"/>
        <v>17515.93047337278</v>
      </c>
      <c r="K36" s="1">
        <v>1189</v>
      </c>
      <c r="L36" s="3">
        <f>K36/$E$5</f>
        <v>3.0148998174654389E-5</v>
      </c>
      <c r="M36" s="1">
        <f>ROUNDDOWN(L36*$E$6,0)</f>
        <v>5</v>
      </c>
      <c r="N36" s="10">
        <v>637271</v>
      </c>
      <c r="O36" s="10">
        <f t="shared" si="1"/>
        <v>535.97224558452479</v>
      </c>
      <c r="P36" s="7">
        <f t="shared" si="2"/>
        <v>2679.861227922624</v>
      </c>
    </row>
    <row r="37" spans="2:16" x14ac:dyDescent="0.3">
      <c r="J37" s="7">
        <f t="shared" si="4"/>
        <v>0</v>
      </c>
      <c r="L37" s="3"/>
      <c r="M37" s="3"/>
      <c r="N37" s="10"/>
      <c r="O37" s="10"/>
    </row>
    <row r="38" spans="2:16" x14ac:dyDescent="0.3">
      <c r="E38" s="1">
        <f>SUM(E7:E36)</f>
        <v>60757</v>
      </c>
      <c r="I38" s="7">
        <f t="shared" si="3"/>
        <v>0</v>
      </c>
      <c r="J38" s="7">
        <f t="shared" si="4"/>
        <v>0</v>
      </c>
      <c r="L38" s="3"/>
      <c r="M38" s="3"/>
      <c r="N38" s="10"/>
      <c r="O38" s="10"/>
    </row>
    <row r="39" spans="2:16" x14ac:dyDescent="0.3">
      <c r="C39" t="s">
        <v>73</v>
      </c>
    </row>
  </sheetData>
  <phoneticPr fontId="1" type="noConversion"/>
  <hyperlinks>
    <hyperlink ref="B7" r:id="rId1" location="?s=47" display="https://www.ic3.gov/Media/PDF/AnnualReport/2018State/StateReport.aspx#?s=47" xr:uid="{BA7E7297-EC49-4A57-9B83-8774941AF0A9}"/>
    <hyperlink ref="B8:B36" r:id="rId2" location="?s=47" display="https://www.ic3.gov/Media/PDF/AnnualReport/2018State/StateReport.aspx#?s=47" xr:uid="{3D178310-36AD-4C23-9591-3293B49141D6}"/>
    <hyperlink ref="B5" r:id="rId3" xr:uid="{84423844-5909-497C-9DF0-1D083C977845}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276E-0535-45F1-93C4-5039B478062D}">
  <dimension ref="B4:P41"/>
  <sheetViews>
    <sheetView topLeftCell="B19" workbookViewId="0">
      <selection activeCell="N7" sqref="N7:N3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103</v>
      </c>
      <c r="D5" t="s">
        <v>7</v>
      </c>
      <c r="E5" s="15">
        <v>39437610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s="12" t="s">
        <v>70</v>
      </c>
      <c r="C6" t="s">
        <v>69</v>
      </c>
      <c r="D6" t="s">
        <v>7</v>
      </c>
      <c r="E6" s="13">
        <v>182799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110</v>
      </c>
      <c r="C7" t="s">
        <v>25</v>
      </c>
      <c r="D7" t="s">
        <v>21</v>
      </c>
      <c r="E7" s="1">
        <v>1561</v>
      </c>
      <c r="F7" s="3">
        <v>3.9581506080109798E-5</v>
      </c>
      <c r="G7" s="1">
        <f>ROUNDDOWN(F7*$E$6,0)</f>
        <v>7</v>
      </c>
      <c r="H7" s="10">
        <v>13542429</v>
      </c>
      <c r="I7" s="7">
        <f>H7/E7</f>
        <v>8675.4830237027545</v>
      </c>
      <c r="J7" s="7">
        <f>I7*G7</f>
        <v>60728.38116591928</v>
      </c>
      <c r="K7" s="1">
        <v>896</v>
      </c>
      <c r="L7" s="3">
        <f>K7/$E$5</f>
        <v>2.2719429498897118E-5</v>
      </c>
      <c r="M7" s="1">
        <f>ROUNDDOWN(L7*$E$6,0)</f>
        <v>4</v>
      </c>
      <c r="N7" s="10">
        <v>7547188</v>
      </c>
      <c r="O7" s="7">
        <f>N7/K7</f>
        <v>8423.2008928571431</v>
      </c>
      <c r="P7" s="7">
        <f>M7*O7</f>
        <v>33692.803571428572</v>
      </c>
    </row>
    <row r="8" spans="2:16" s="2" customFormat="1" x14ac:dyDescent="0.3">
      <c r="B8" s="12" t="s">
        <v>110</v>
      </c>
      <c r="C8" t="s">
        <v>23</v>
      </c>
      <c r="D8" t="s">
        <v>21</v>
      </c>
      <c r="E8" s="1">
        <v>3523</v>
      </c>
      <c r="F8" s="3">
        <v>8.9330971121221605E-5</v>
      </c>
      <c r="G8" s="1">
        <f>ROUNDDOWN(F8*$E$6,0)</f>
        <v>16</v>
      </c>
      <c r="H8" s="10"/>
      <c r="I8" s="7">
        <f>H8/E8</f>
        <v>0</v>
      </c>
      <c r="J8" s="7">
        <f>I8*G8</f>
        <v>0</v>
      </c>
      <c r="K8" s="1">
        <v>562</v>
      </c>
      <c r="L8" s="3">
        <f>K8/$E$5</f>
        <v>1.4250356449085023E-5</v>
      </c>
      <c r="M8" s="1">
        <f>ROUNDDOWN(L8*$E$6,0)</f>
        <v>2</v>
      </c>
      <c r="N8" s="10">
        <v>31095390</v>
      </c>
      <c r="O8" s="7">
        <f>N8/K8</f>
        <v>55329.875444839854</v>
      </c>
      <c r="P8" s="7">
        <f>M8*O8</f>
        <v>110659.75088967971</v>
      </c>
    </row>
    <row r="9" spans="2:16" s="2" customFormat="1" x14ac:dyDescent="0.3">
      <c r="B9" s="12" t="s">
        <v>110</v>
      </c>
      <c r="C9" t="s">
        <v>26</v>
      </c>
      <c r="D9" t="s">
        <v>21</v>
      </c>
      <c r="E9" s="1"/>
      <c r="F9" s="3">
        <v>0</v>
      </c>
      <c r="G9" s="1">
        <f>ROUNDDOWN(F9*$E$6,0)</f>
        <v>0</v>
      </c>
      <c r="H9" s="10"/>
      <c r="I9" s="7" t="e">
        <f>H9/E9</f>
        <v>#DIV/0!</v>
      </c>
      <c r="J9" s="7" t="e">
        <f>I9*G9</f>
        <v>#DIV/0!</v>
      </c>
      <c r="K9" s="1"/>
      <c r="L9" s="3">
        <f>K9/$E$5</f>
        <v>0</v>
      </c>
      <c r="M9" s="1">
        <f>ROUNDDOWN(L9*$E$6,0)</f>
        <v>0</v>
      </c>
      <c r="N9" s="10"/>
      <c r="O9" s="7" t="e">
        <f>N9/K9</f>
        <v>#DIV/0!</v>
      </c>
      <c r="P9" s="7" t="e">
        <f>M9*O9</f>
        <v>#DIV/0!</v>
      </c>
    </row>
    <row r="10" spans="2:16" s="2" customFormat="1" x14ac:dyDescent="0.3">
      <c r="B10" s="12" t="s">
        <v>110</v>
      </c>
      <c r="C10" t="s">
        <v>27</v>
      </c>
      <c r="D10" t="s">
        <v>21</v>
      </c>
      <c r="E10" s="1">
        <v>2206</v>
      </c>
      <c r="F10" s="3">
        <v>5.5936452538579297E-5</v>
      </c>
      <c r="G10" s="1">
        <f>ROUNDDOWN(F10*$E$6,0)</f>
        <v>10</v>
      </c>
      <c r="H10" s="10">
        <v>107853977</v>
      </c>
      <c r="I10" s="7">
        <f>H10/E10</f>
        <v>48891.1953762466</v>
      </c>
      <c r="J10" s="7">
        <f>I10*G10</f>
        <v>488911.95376246597</v>
      </c>
      <c r="K10" s="1">
        <v>1110</v>
      </c>
      <c r="L10" s="3">
        <f>K10/$E$5</f>
        <v>2.8145721812249778E-5</v>
      </c>
      <c r="M10" s="1">
        <f>ROUNDDOWN(L10*$E$6,0)</f>
        <v>5</v>
      </c>
      <c r="N10" s="10">
        <v>46198807</v>
      </c>
      <c r="O10" s="7">
        <f>N10/K10</f>
        <v>41620.546846846846</v>
      </c>
      <c r="P10" s="7">
        <f>M10*O10</f>
        <v>208102.73423423423</v>
      </c>
    </row>
    <row r="11" spans="2:16" s="2" customFormat="1" x14ac:dyDescent="0.3">
      <c r="B11" s="12" t="s">
        <v>110</v>
      </c>
      <c r="C11" t="s">
        <v>115</v>
      </c>
      <c r="D11" t="s">
        <v>21</v>
      </c>
      <c r="E11" s="1">
        <v>1966</v>
      </c>
      <c r="F11" s="3">
        <v>0</v>
      </c>
      <c r="G11" s="1">
        <f>ROUNDDOWN(F11*$E$6,0)</f>
        <v>0</v>
      </c>
      <c r="H11" s="11">
        <v>17519988</v>
      </c>
      <c r="I11" s="7">
        <f>H11/E11</f>
        <v>8911.4893184130215</v>
      </c>
      <c r="J11" s="7">
        <f>I11*G11</f>
        <v>0</v>
      </c>
      <c r="K11" s="1">
        <v>906</v>
      </c>
      <c r="L11" s="3">
        <f>K11/$E$5</f>
        <v>2.2972994560268739E-5</v>
      </c>
      <c r="M11" s="1">
        <f>ROUNDDOWN(L11*$E$6,0)</f>
        <v>4</v>
      </c>
      <c r="N11" s="10">
        <v>7637627</v>
      </c>
      <c r="O11" s="7">
        <f>N11/K11</f>
        <v>8430.0518763796917</v>
      </c>
      <c r="P11" s="7">
        <f>M11*O11</f>
        <v>33720.207505518767</v>
      </c>
    </row>
    <row r="12" spans="2:16" s="2" customFormat="1" x14ac:dyDescent="0.3">
      <c r="B12" s="12" t="s">
        <v>110</v>
      </c>
      <c r="C12" t="s">
        <v>4</v>
      </c>
      <c r="D12" t="s">
        <v>21</v>
      </c>
      <c r="E12" s="1">
        <v>161</v>
      </c>
      <c r="F12" s="3">
        <v>4.0823974880830798E-6</v>
      </c>
      <c r="G12" s="1">
        <f>ROUNDDOWN(F12*$E$6,0)</f>
        <v>0</v>
      </c>
      <c r="H12" s="10">
        <v>793</v>
      </c>
      <c r="I12" s="7">
        <f>H12/E12</f>
        <v>4.9254658385093171</v>
      </c>
      <c r="J12" s="7">
        <f>I12*G12</f>
        <v>0</v>
      </c>
      <c r="K12" s="1">
        <v>46</v>
      </c>
      <c r="L12" s="3">
        <f>K12/$E$5</f>
        <v>1.1663992823094503E-6</v>
      </c>
      <c r="M12" s="1">
        <f>ROUNDDOWN(L12*$E$6,0)</f>
        <v>0</v>
      </c>
      <c r="N12" s="10">
        <v>200</v>
      </c>
      <c r="O12" s="7">
        <f>N12/K12</f>
        <v>4.3478260869565215</v>
      </c>
      <c r="P12" s="7">
        <f>M12*O12</f>
        <v>0</v>
      </c>
    </row>
    <row r="13" spans="2:16" s="2" customFormat="1" x14ac:dyDescent="0.3">
      <c r="B13" s="12" t="s">
        <v>110</v>
      </c>
      <c r="C13" t="s">
        <v>5</v>
      </c>
      <c r="D13" t="s">
        <v>21</v>
      </c>
      <c r="E13" s="1">
        <v>235</v>
      </c>
      <c r="F13" s="3">
        <v>5.9587789422330599E-6</v>
      </c>
      <c r="G13" s="1">
        <f>ROUNDDOWN(F13*$E$6,0)</f>
        <v>1</v>
      </c>
      <c r="H13" s="10">
        <v>6064748</v>
      </c>
      <c r="I13" s="7">
        <f>H13/E13</f>
        <v>25807.438297872341</v>
      </c>
      <c r="J13" s="7">
        <f>I13*G13</f>
        <v>25807.438297872341</v>
      </c>
      <c r="K13" s="1">
        <v>71</v>
      </c>
      <c r="L13" s="3">
        <f>K13/$E$5</f>
        <v>1.8003119357384994E-6</v>
      </c>
      <c r="M13" s="1">
        <f>ROUNDDOWN(L13*$E$6,0)</f>
        <v>0</v>
      </c>
      <c r="N13" s="10">
        <v>3326746</v>
      </c>
      <c r="O13" s="7">
        <f>N13/K13</f>
        <v>46855.57746478873</v>
      </c>
      <c r="P13" s="7">
        <f>M13*O13</f>
        <v>0</v>
      </c>
    </row>
    <row r="14" spans="2:16" s="2" customFormat="1" x14ac:dyDescent="0.3">
      <c r="B14" s="12" t="s">
        <v>110</v>
      </c>
      <c r="C14" t="s">
        <v>29</v>
      </c>
      <c r="D14" t="s">
        <v>21</v>
      </c>
      <c r="E14" s="1">
        <v>1983</v>
      </c>
      <c r="F14" s="3">
        <v>5.0281951669992202E-5</v>
      </c>
      <c r="G14" s="1">
        <f>ROUNDDOWN(F14*$E$6,0)</f>
        <v>9</v>
      </c>
      <c r="H14" s="10">
        <v>6440960</v>
      </c>
      <c r="I14" s="7">
        <f>H14/E14</f>
        <v>3248.0887544125062</v>
      </c>
      <c r="J14" s="7">
        <f>I14*G14</f>
        <v>29232.798789712557</v>
      </c>
      <c r="K14" s="1">
        <v>983</v>
      </c>
      <c r="L14" s="3">
        <f>K14/$E$5</f>
        <v>2.4925445532830209E-5</v>
      </c>
      <c r="M14" s="1">
        <f>ROUNDDOWN(L14*$E$6,0)</f>
        <v>4</v>
      </c>
      <c r="N14" s="10">
        <v>4485530</v>
      </c>
      <c r="O14" s="7">
        <f>N14/K14</f>
        <v>4563.1027466937949</v>
      </c>
      <c r="P14" s="7">
        <f>M14*O14</f>
        <v>18252.410986775179</v>
      </c>
    </row>
    <row r="15" spans="2:16" s="2" customFormat="1" x14ac:dyDescent="0.3">
      <c r="B15" s="12" t="s">
        <v>110</v>
      </c>
      <c r="C15" t="s">
        <v>8</v>
      </c>
      <c r="D15" t="s">
        <v>21</v>
      </c>
      <c r="E15" s="1">
        <v>6612</v>
      </c>
      <c r="F15" s="3">
        <v>1.6765721857891499E-4</v>
      </c>
      <c r="G15" s="1">
        <f>ROUNDDOWN(F15*$E$6,0)</f>
        <v>30</v>
      </c>
      <c r="H15" s="11">
        <v>26675566</v>
      </c>
      <c r="I15" s="19">
        <f>H15/E15</f>
        <v>4034.4171203871747</v>
      </c>
      <c r="J15" s="7">
        <f>I15*G15</f>
        <v>121032.51361161524</v>
      </c>
      <c r="K15" s="1">
        <v>783</v>
      </c>
      <c r="L15" s="3">
        <f>K15/$E$5</f>
        <v>1.9854144305397818E-5</v>
      </c>
      <c r="M15" s="1">
        <f>ROUNDDOWN(L15*$E$6,0)</f>
        <v>3</v>
      </c>
      <c r="N15" s="10">
        <v>3572557</v>
      </c>
      <c r="O15" s="7">
        <f>N15/K15</f>
        <v>4562.6526181353765</v>
      </c>
      <c r="P15" s="7">
        <f>M15*O15</f>
        <v>13687.95785440613</v>
      </c>
    </row>
    <row r="16" spans="2:16" s="2" customFormat="1" x14ac:dyDescent="0.3">
      <c r="B16" s="12" t="s">
        <v>110</v>
      </c>
      <c r="C16" t="s">
        <v>30</v>
      </c>
      <c r="D16" t="s">
        <v>21</v>
      </c>
      <c r="E16" s="1">
        <v>1928</v>
      </c>
      <c r="F16" s="3">
        <v>4.88873438324483E-5</v>
      </c>
      <c r="G16" s="1">
        <f>ROUNDDOWN(F16*$E$6,0)</f>
        <v>8</v>
      </c>
      <c r="H16" s="10">
        <v>29053752</v>
      </c>
      <c r="I16" s="7">
        <f>H16/E16</f>
        <v>15069.373443983402</v>
      </c>
      <c r="J16" s="7">
        <f>I16*G16</f>
        <v>120554.98755186722</v>
      </c>
      <c r="K16" s="1">
        <v>300</v>
      </c>
      <c r="L16" s="3">
        <f>K16/$E$5</f>
        <v>7.6069518411485885E-6</v>
      </c>
      <c r="M16" s="1">
        <f>ROUNDDOWN(L16*$E$6,0)</f>
        <v>1</v>
      </c>
      <c r="N16" s="10">
        <v>6622540</v>
      </c>
      <c r="O16" s="7">
        <f>N16/K16</f>
        <v>22075.133333333335</v>
      </c>
      <c r="P16" s="7">
        <f>M16*O16</f>
        <v>22075.133333333335</v>
      </c>
    </row>
    <row r="17" spans="2:16" s="2" customFormat="1" x14ac:dyDescent="0.3">
      <c r="B17" s="12" t="s">
        <v>110</v>
      </c>
      <c r="C17" t="s">
        <v>31</v>
      </c>
      <c r="D17" t="s">
        <v>21</v>
      </c>
      <c r="E17" s="1"/>
      <c r="F17" s="3">
        <v>0</v>
      </c>
      <c r="G17" s="1">
        <f>ROUNDDOWN(F17*$E$6,0)</f>
        <v>0</v>
      </c>
      <c r="H17" s="10"/>
      <c r="I17" s="7" t="e">
        <f>H17/E17</f>
        <v>#DIV/0!</v>
      </c>
      <c r="J17" s="7" t="e">
        <f>I17*G17</f>
        <v>#DIV/0!</v>
      </c>
      <c r="K17" s="1"/>
      <c r="L17" s="3">
        <f>K17/$E$5</f>
        <v>0</v>
      </c>
      <c r="M17" s="1">
        <f>ROUNDDOWN(L17*$E$6,0)</f>
        <v>0</v>
      </c>
      <c r="N17" s="11"/>
      <c r="O17" s="7" t="e">
        <f>N17/K17</f>
        <v>#DIV/0!</v>
      </c>
      <c r="P17" s="7" t="e">
        <f>M17*O17</f>
        <v>#DIV/0!</v>
      </c>
    </row>
    <row r="18" spans="2:16" s="2" customFormat="1" x14ac:dyDescent="0.3">
      <c r="B18" s="12" t="s">
        <v>110</v>
      </c>
      <c r="C18" t="s">
        <v>32</v>
      </c>
      <c r="D18" t="s">
        <v>21</v>
      </c>
      <c r="E18" s="1">
        <v>392</v>
      </c>
      <c r="F18" s="3">
        <v>9.9397504057674903E-6</v>
      </c>
      <c r="G18" s="1">
        <f>ROUNDDOWN(F18*$E$6,0)</f>
        <v>1</v>
      </c>
      <c r="H18" s="10">
        <v>3617279</v>
      </c>
      <c r="I18" s="7">
        <f>H18/E18</f>
        <v>9227.7525510204086</v>
      </c>
      <c r="J18" s="7">
        <f>I18*G18</f>
        <v>9227.7525510204086</v>
      </c>
      <c r="K18" s="1">
        <v>199</v>
      </c>
      <c r="L18" s="3">
        <f>K18/$E$5</f>
        <v>5.045944721295231E-6</v>
      </c>
      <c r="M18" s="1">
        <f>ROUNDDOWN(L18*$E$6,0)</f>
        <v>0</v>
      </c>
      <c r="N18" s="10">
        <v>2398648</v>
      </c>
      <c r="O18" s="7">
        <f>N18/K18</f>
        <v>12053.507537688442</v>
      </c>
      <c r="P18" s="7">
        <f>M18*O18</f>
        <v>0</v>
      </c>
    </row>
    <row r="19" spans="2:16" s="2" customFormat="1" x14ac:dyDescent="0.3">
      <c r="B19" s="12" t="s">
        <v>110</v>
      </c>
      <c r="C19" t="s">
        <v>33</v>
      </c>
      <c r="D19" t="s">
        <v>21</v>
      </c>
      <c r="E19" s="1">
        <v>1937</v>
      </c>
      <c r="F19" s="3">
        <v>4.9115552387682701E-5</v>
      </c>
      <c r="G19" s="1">
        <f>ROUNDDOWN(F19*$E$6,0)</f>
        <v>8</v>
      </c>
      <c r="H19" s="10">
        <v>32127429</v>
      </c>
      <c r="I19" s="7">
        <f>H19/E19</f>
        <v>16586.179143004647</v>
      </c>
      <c r="J19" s="7">
        <f>I19*G19</f>
        <v>132689.43314403718</v>
      </c>
      <c r="K19" s="1">
        <v>699</v>
      </c>
      <c r="L19" s="3">
        <f>K19/$E$5</f>
        <v>1.7724197789876212E-5</v>
      </c>
      <c r="M19" s="1">
        <f>ROUNDDOWN(L19*$E$6,0)</f>
        <v>3</v>
      </c>
      <c r="N19" s="10">
        <v>11709827</v>
      </c>
      <c r="O19" s="7">
        <f>N19/K19</f>
        <v>16752.25608011445</v>
      </c>
      <c r="P19" s="7">
        <f>M19*O19</f>
        <v>50256.76824034335</v>
      </c>
    </row>
    <row r="20" spans="2:16" s="2" customFormat="1" x14ac:dyDescent="0.3">
      <c r="B20" s="12" t="s">
        <v>110</v>
      </c>
      <c r="C20" t="s">
        <v>34</v>
      </c>
      <c r="D20" t="s">
        <v>21</v>
      </c>
      <c r="E20" s="1">
        <v>400</v>
      </c>
      <c r="F20" s="3">
        <v>1.0142602454864799E-5</v>
      </c>
      <c r="G20" s="1">
        <f>ROUNDDOWN(F20*$E$6,0)</f>
        <v>1</v>
      </c>
      <c r="H20" s="10"/>
      <c r="I20" s="7">
        <f>H20/E20</f>
        <v>0</v>
      </c>
      <c r="J20" s="7">
        <f>I20*G20</f>
        <v>0</v>
      </c>
      <c r="K20" s="1">
        <v>318</v>
      </c>
      <c r="L20" s="3">
        <f>K20/$E$5</f>
        <v>8.0633689516175034E-6</v>
      </c>
      <c r="M20" s="1">
        <f>ROUNDDOWN(L20*$E$6,0)</f>
        <v>1</v>
      </c>
      <c r="N20" s="10">
        <v>21721653</v>
      </c>
      <c r="O20" s="7">
        <f>N20/K20</f>
        <v>68307.084905660377</v>
      </c>
      <c r="P20" s="7">
        <f>M20*O20</f>
        <v>68307.084905660377</v>
      </c>
    </row>
    <row r="21" spans="2:16" s="2" customFormat="1" x14ac:dyDescent="0.3">
      <c r="B21" s="12" t="s">
        <v>110</v>
      </c>
      <c r="C21" t="s">
        <v>35</v>
      </c>
      <c r="D21" t="s">
        <v>21</v>
      </c>
      <c r="E21" s="1">
        <v>593</v>
      </c>
      <c r="F21" s="3">
        <v>1.5036408139337E-5</v>
      </c>
      <c r="G21" s="1">
        <f>ROUNDDOWN(F21*$E$6,0)</f>
        <v>2</v>
      </c>
      <c r="H21" s="10">
        <v>7871344</v>
      </c>
      <c r="I21" s="7">
        <f>H21/E21</f>
        <v>13273.767284991569</v>
      </c>
      <c r="J21" s="7">
        <f>I21*G21</f>
        <v>26547.534569983138</v>
      </c>
      <c r="K21" s="1"/>
      <c r="L21" s="3">
        <f>K21/$E$5</f>
        <v>0</v>
      </c>
      <c r="M21" s="1">
        <f>ROUNDDOWN(L21*$E$6,0)</f>
        <v>0</v>
      </c>
      <c r="N21" s="10">
        <v>2190447</v>
      </c>
      <c r="O21" s="7" t="e">
        <f>N21/K21</f>
        <v>#DIV/0!</v>
      </c>
      <c r="P21" s="7" t="e">
        <f>M21*O21</f>
        <v>#DIV/0!</v>
      </c>
    </row>
    <row r="22" spans="2:16" s="2" customFormat="1" x14ac:dyDescent="0.3">
      <c r="B22" s="12" t="s">
        <v>110</v>
      </c>
      <c r="C22" t="s">
        <v>9</v>
      </c>
      <c r="D22" t="s">
        <v>21</v>
      </c>
      <c r="E22" s="1">
        <v>271</v>
      </c>
      <c r="F22" s="3">
        <v>6.8716131631708897E-6</v>
      </c>
      <c r="G22" s="1">
        <f>ROUNDDOWN(F22*$E$6,0)</f>
        <v>1</v>
      </c>
      <c r="H22" s="10">
        <v>215843</v>
      </c>
      <c r="I22" s="7">
        <f>H22/E22</f>
        <v>796.46863468634683</v>
      </c>
      <c r="J22" s="7">
        <f>I22*G22</f>
        <v>796.46863468634683</v>
      </c>
      <c r="K22" s="1">
        <v>60</v>
      </c>
      <c r="L22" s="3">
        <f>K22/$E$5</f>
        <v>1.5213903682297178E-6</v>
      </c>
      <c r="M22" s="1">
        <f>ROUNDDOWN(L22*$E$6,0)</f>
        <v>0</v>
      </c>
      <c r="N22" s="10"/>
      <c r="O22" s="7">
        <f>N22/K22</f>
        <v>0</v>
      </c>
      <c r="P22" s="7">
        <f>M22*O22</f>
        <v>0</v>
      </c>
    </row>
    <row r="23" spans="2:16" s="2" customFormat="1" x14ac:dyDescent="0.3">
      <c r="B23" s="12" t="s">
        <v>110</v>
      </c>
      <c r="C23" t="s">
        <v>36</v>
      </c>
      <c r="D23" t="s">
        <v>21</v>
      </c>
      <c r="E23" s="1"/>
      <c r="F23" s="3">
        <v>0</v>
      </c>
      <c r="G23" s="1">
        <f>ROUNDDOWN(F23*$E$6,0)</f>
        <v>0</v>
      </c>
      <c r="H23" s="10"/>
      <c r="I23" s="7" t="e">
        <f>H23/E23</f>
        <v>#DIV/0!</v>
      </c>
      <c r="J23" s="7" t="e">
        <f>I23*G23</f>
        <v>#DIV/0!</v>
      </c>
      <c r="K23" s="1"/>
      <c r="L23" s="3">
        <f>K23/$E$5</f>
        <v>0</v>
      </c>
      <c r="M23" s="1">
        <f>ROUNDDOWN(L23*$E$6,0)</f>
        <v>0</v>
      </c>
      <c r="N23" s="10"/>
      <c r="O23" s="7" t="e">
        <f>N23/K23</f>
        <v>#DIV/0!</v>
      </c>
      <c r="P23" s="7" t="e">
        <f>M23*O23</f>
        <v>#DIV/0!</v>
      </c>
    </row>
    <row r="24" spans="2:16" s="2" customFormat="1" x14ac:dyDescent="0.3">
      <c r="B24" s="12" t="s">
        <v>110</v>
      </c>
      <c r="C24" t="s">
        <v>37</v>
      </c>
      <c r="D24" t="s">
        <v>21</v>
      </c>
      <c r="E24" s="1"/>
      <c r="F24" s="3">
        <v>0</v>
      </c>
      <c r="G24" s="1">
        <f>ROUNDDOWN(F24*$E$6,0)</f>
        <v>0</v>
      </c>
      <c r="H24" s="10"/>
      <c r="I24" s="7" t="e">
        <f>H24/E24</f>
        <v>#DIV/0!</v>
      </c>
      <c r="J24" s="7" t="e">
        <f>I24*G24</f>
        <v>#DIV/0!</v>
      </c>
      <c r="K24" s="1"/>
      <c r="L24" s="3">
        <f>K24/$E$5</f>
        <v>0</v>
      </c>
      <c r="M24" s="1">
        <f>ROUNDDOWN(L24*$E$6,0)</f>
        <v>0</v>
      </c>
      <c r="N24" s="10"/>
      <c r="O24" s="7" t="e">
        <f>N24/K24</f>
        <v>#DIV/0!</v>
      </c>
      <c r="P24" s="7" t="e">
        <f>M24*O24</f>
        <v>#DIV/0!</v>
      </c>
    </row>
    <row r="25" spans="2:16" s="2" customFormat="1" x14ac:dyDescent="0.3">
      <c r="B25" s="12" t="s">
        <v>110</v>
      </c>
      <c r="C25" t="s">
        <v>38</v>
      </c>
      <c r="D25" t="s">
        <v>21</v>
      </c>
      <c r="E25" s="1">
        <v>5476</v>
      </c>
      <c r="F25" s="3">
        <v>1.3885222760709901E-4</v>
      </c>
      <c r="G25" s="1">
        <f>ROUNDDOWN(F25*$E$6,0)</f>
        <v>25</v>
      </c>
      <c r="H25" s="10">
        <v>0</v>
      </c>
      <c r="I25" s="7">
        <f>H25/E25</f>
        <v>0</v>
      </c>
      <c r="J25" s="7">
        <f>I25*G25</f>
        <v>0</v>
      </c>
      <c r="K25" s="1">
        <v>1743</v>
      </c>
      <c r="L25" s="3">
        <f>K25/$E$5</f>
        <v>4.4196390197073303E-5</v>
      </c>
      <c r="M25" s="1">
        <f>ROUNDDOWN(L25*$E$6,0)</f>
        <v>8</v>
      </c>
      <c r="N25" s="10">
        <v>0</v>
      </c>
      <c r="O25" s="7">
        <f>N25/K25</f>
        <v>0</v>
      </c>
      <c r="P25" s="7">
        <f>M25*O25</f>
        <v>0</v>
      </c>
    </row>
    <row r="26" spans="2:16" s="2" customFormat="1" x14ac:dyDescent="0.3">
      <c r="B26" s="12" t="s">
        <v>110</v>
      </c>
      <c r="C26" t="s">
        <v>39</v>
      </c>
      <c r="D26" t="s">
        <v>21</v>
      </c>
      <c r="E26" s="1">
        <v>8018</v>
      </c>
      <c r="F26" s="3">
        <v>2.0330846620776499E-4</v>
      </c>
      <c r="G26" s="1">
        <f>ROUNDDOWN(F26*$E$6,0)</f>
        <v>37</v>
      </c>
      <c r="H26" s="10">
        <v>26755670</v>
      </c>
      <c r="I26" s="7">
        <f>H26/E26</f>
        <v>3336.9506111249689</v>
      </c>
      <c r="J26" s="7">
        <f>I26*G26</f>
        <v>123467.17261162384</v>
      </c>
      <c r="K26" s="1">
        <v>4074</v>
      </c>
      <c r="L26" s="3">
        <f>K26/$E$5</f>
        <v>1.0330240600279784E-4</v>
      </c>
      <c r="M26" s="1">
        <f>ROUNDDOWN(L26*$E$6,0)</f>
        <v>18</v>
      </c>
      <c r="N26" s="10">
        <v>27009645</v>
      </c>
      <c r="O26" s="7">
        <f>N26/K26</f>
        <v>6629.7606774668629</v>
      </c>
      <c r="P26" s="7">
        <f>M26*O26</f>
        <v>119335.69219440353</v>
      </c>
    </row>
    <row r="27" spans="2:16" s="2" customFormat="1" x14ac:dyDescent="0.3">
      <c r="B27" s="12" t="s">
        <v>110</v>
      </c>
      <c r="C27" t="s">
        <v>40</v>
      </c>
      <c r="D27" t="s">
        <v>21</v>
      </c>
      <c r="E27" s="1">
        <v>2186</v>
      </c>
      <c r="F27" s="3">
        <v>5.5429322415836001E-5</v>
      </c>
      <c r="G27" s="1">
        <f>ROUNDDOWN(F27*$E$6,0)</f>
        <v>10</v>
      </c>
      <c r="H27" s="10">
        <v>5480991</v>
      </c>
      <c r="I27" s="7">
        <f>H27/E27</f>
        <v>2507.3151875571821</v>
      </c>
      <c r="J27" s="7">
        <f>I27*G27</f>
        <v>25073.151875571821</v>
      </c>
      <c r="K27" s="1">
        <v>691</v>
      </c>
      <c r="L27" s="3">
        <f>K27/$E$5</f>
        <v>1.7521345740778916E-5</v>
      </c>
      <c r="M27" s="1">
        <f>ROUNDDOWN(L27*$E$6,0)</f>
        <v>3</v>
      </c>
      <c r="N27" s="10">
        <v>1821853</v>
      </c>
      <c r="O27" s="7">
        <f>N27/K27</f>
        <v>2636.5455861070914</v>
      </c>
      <c r="P27" s="7">
        <f>M27*O27</f>
        <v>7909.6367583212741</v>
      </c>
    </row>
    <row r="28" spans="2:16" s="2" customFormat="1" x14ac:dyDescent="0.3">
      <c r="B28" s="12" t="s">
        <v>110</v>
      </c>
      <c r="C28" t="s">
        <v>41</v>
      </c>
      <c r="D28" t="s">
        <v>21</v>
      </c>
      <c r="E28" s="1">
        <v>2325</v>
      </c>
      <c r="F28" s="3">
        <v>5.8953876768901597E-5</v>
      </c>
      <c r="G28" s="1">
        <f>ROUNDDOWN(F28*$E$6,0)</f>
        <v>10</v>
      </c>
      <c r="H28" s="10">
        <v>9715527</v>
      </c>
      <c r="I28" s="7">
        <f>H28/E28</f>
        <v>4178.7212903225809</v>
      </c>
      <c r="J28" s="7">
        <f>I28*G28</f>
        <v>41787.212903225809</v>
      </c>
      <c r="K28" s="1">
        <v>1057</v>
      </c>
      <c r="L28" s="3">
        <f>K28/$E$5</f>
        <v>2.6801826986980194E-5</v>
      </c>
      <c r="M28" s="1">
        <f>ROUNDDOWN(L28*$E$6,0)</f>
        <v>4</v>
      </c>
      <c r="N28" s="10">
        <v>5440103</v>
      </c>
      <c r="O28" s="7">
        <f>N28/K28</f>
        <v>5146.7388836329237</v>
      </c>
      <c r="P28" s="7">
        <f>M28*O28</f>
        <v>20586.955534531695</v>
      </c>
    </row>
    <row r="29" spans="2:16" s="2" customFormat="1" x14ac:dyDescent="0.3">
      <c r="B29" s="12" t="s">
        <v>110</v>
      </c>
      <c r="C29" t="s">
        <v>10</v>
      </c>
      <c r="D29" t="s">
        <v>21</v>
      </c>
      <c r="E29" s="1">
        <v>5377</v>
      </c>
      <c r="F29" s="3">
        <v>1.3634193349952001E-4</v>
      </c>
      <c r="G29" s="1">
        <f>ROUNDDOWN(F29*$E$6,0)</f>
        <v>24</v>
      </c>
      <c r="H29" s="10">
        <v>17672566</v>
      </c>
      <c r="I29" s="7">
        <f>H29/E29</f>
        <v>3286.6962990515158</v>
      </c>
      <c r="J29" s="7">
        <f>I29*G29</f>
        <v>78880.711177236371</v>
      </c>
      <c r="K29" s="1">
        <v>1711</v>
      </c>
      <c r="L29" s="3">
        <f>K29/$E$5</f>
        <v>4.3384982000684121E-5</v>
      </c>
      <c r="M29" s="1">
        <f>ROUNDDOWN(L29*$E$6,0)</f>
        <v>7</v>
      </c>
      <c r="N29" s="10">
        <v>7700878</v>
      </c>
      <c r="O29" s="7">
        <f>N29/K29</f>
        <v>4500.8053769725311</v>
      </c>
      <c r="P29" s="7">
        <f>M29*O29</f>
        <v>31505.637638807719</v>
      </c>
    </row>
    <row r="30" spans="2:16" s="2" customFormat="1" x14ac:dyDescent="0.3">
      <c r="B30" s="12" t="s">
        <v>110</v>
      </c>
      <c r="C30" t="s">
        <v>11</v>
      </c>
      <c r="D30" t="s">
        <v>21</v>
      </c>
      <c r="E30" s="1">
        <v>2707</v>
      </c>
      <c r="F30" s="3">
        <v>6.8640062113297395E-5</v>
      </c>
      <c r="G30" s="1">
        <f>ROUNDDOWN(F30*$E$6,0)</f>
        <v>12</v>
      </c>
      <c r="H30" s="10">
        <v>6005044</v>
      </c>
      <c r="I30" s="7">
        <f>H30/E30</f>
        <v>2218.3391207979312</v>
      </c>
      <c r="J30" s="7">
        <f>I30*G30</f>
        <v>26620.069449575174</v>
      </c>
      <c r="K30" s="1">
        <v>750</v>
      </c>
      <c r="L30" s="3">
        <f>K30/$E$5</f>
        <v>1.9017379602871473E-5</v>
      </c>
      <c r="M30" s="1">
        <f>ROUNDDOWN(L30*$E$6,0)</f>
        <v>3</v>
      </c>
      <c r="N30" s="10">
        <v>2345166</v>
      </c>
      <c r="O30" s="7">
        <f>N30/K30</f>
        <v>3126.8879999999999</v>
      </c>
      <c r="P30" s="7">
        <f>M30*O30</f>
        <v>9380.6640000000007</v>
      </c>
    </row>
    <row r="31" spans="2:16" s="2" customFormat="1" x14ac:dyDescent="0.3">
      <c r="B31" s="12" t="s">
        <v>110</v>
      </c>
      <c r="C31" t="s">
        <v>12</v>
      </c>
      <c r="D31" t="s">
        <v>21</v>
      </c>
      <c r="E31" s="1">
        <v>303</v>
      </c>
      <c r="F31" s="3">
        <v>7.6830213595600803E-6</v>
      </c>
      <c r="G31" s="1">
        <f>ROUNDDOWN(F31*$E$6,0)</f>
        <v>1</v>
      </c>
      <c r="H31" s="10">
        <v>1448357</v>
      </c>
      <c r="I31" s="7">
        <f>H31/E31</f>
        <v>4780.0561056105607</v>
      </c>
      <c r="J31" s="7">
        <f>I31*G31</f>
        <v>4780.0561056105607</v>
      </c>
      <c r="K31" s="1">
        <v>25</v>
      </c>
      <c r="L31" s="3">
        <f>K31/$E$5</f>
        <v>6.3391265342904911E-7</v>
      </c>
      <c r="M31" s="1">
        <f>ROUNDDOWN(L31*$E$6,0)</f>
        <v>0</v>
      </c>
      <c r="N31" s="10">
        <v>76345</v>
      </c>
      <c r="O31" s="7">
        <f>N31/K31</f>
        <v>3053.8</v>
      </c>
      <c r="P31" s="7">
        <f>M31*O31</f>
        <v>0</v>
      </c>
    </row>
    <row r="32" spans="2:16" s="2" customFormat="1" x14ac:dyDescent="0.3">
      <c r="B32" s="12" t="s">
        <v>110</v>
      </c>
      <c r="C32" t="s">
        <v>42</v>
      </c>
      <c r="D32" t="s">
        <v>21</v>
      </c>
      <c r="E32" s="1">
        <v>2376</v>
      </c>
      <c r="F32" s="3">
        <v>6.0247058581896801E-5</v>
      </c>
      <c r="G32" s="1">
        <f>ROUNDDOWN(F32*$E$6,0)</f>
        <v>11</v>
      </c>
      <c r="H32" s="10">
        <v>56285319</v>
      </c>
      <c r="I32" s="7">
        <f>H32/E32</f>
        <v>23689.107323232322</v>
      </c>
      <c r="J32" s="7">
        <f>I32*G32</f>
        <v>260580.18055555553</v>
      </c>
      <c r="K32" s="1">
        <v>909</v>
      </c>
      <c r="L32" s="3">
        <f>K32/$E$5</f>
        <v>2.3049064078680224E-5</v>
      </c>
      <c r="M32" s="1">
        <f>ROUNDDOWN(L32*$E$6,0)</f>
        <v>4</v>
      </c>
      <c r="N32" s="10">
        <v>9413584</v>
      </c>
      <c r="O32" s="7">
        <f>N32/K32</f>
        <v>10355.97799779978</v>
      </c>
      <c r="P32" s="7">
        <f>M32*O32</f>
        <v>41423.911991199122</v>
      </c>
    </row>
    <row r="33" spans="2:16" s="2" customFormat="1" x14ac:dyDescent="0.3">
      <c r="B33" s="12" t="s">
        <v>110</v>
      </c>
      <c r="C33" t="s">
        <v>43</v>
      </c>
      <c r="D33" t="s">
        <v>21</v>
      </c>
      <c r="E33" s="1"/>
      <c r="F33" s="3">
        <v>0</v>
      </c>
      <c r="G33" s="1">
        <f>ROUNDDOWN(F33*$E$6,0)</f>
        <v>0</v>
      </c>
      <c r="H33" s="10"/>
      <c r="I33" s="7" t="e">
        <f>H33/E33</f>
        <v>#DIV/0!</v>
      </c>
      <c r="J33" s="7" t="e">
        <f>I33*G33</f>
        <v>#DIV/0!</v>
      </c>
      <c r="K33" s="1"/>
      <c r="L33" s="3">
        <f>K33/$E$5</f>
        <v>0</v>
      </c>
      <c r="M33" s="1">
        <f>ROUNDDOWN(L33*$E$6,0)</f>
        <v>0</v>
      </c>
      <c r="N33" s="10"/>
      <c r="O33" s="7" t="e">
        <f>N33/K33</f>
        <v>#DIV/0!</v>
      </c>
      <c r="P33" s="7" t="e">
        <f>M33*O33</f>
        <v>#DIV/0!</v>
      </c>
    </row>
    <row r="34" spans="2:16" s="2" customFormat="1" x14ac:dyDescent="0.3">
      <c r="B34" s="12" t="s">
        <v>110</v>
      </c>
      <c r="C34" t="s">
        <v>13</v>
      </c>
      <c r="D34" t="s">
        <v>21</v>
      </c>
      <c r="E34" s="1">
        <v>2890</v>
      </c>
      <c r="F34" s="3">
        <v>7.3280302736398101E-5</v>
      </c>
      <c r="G34" s="1">
        <f>ROUNDDOWN(F34*$E$6,0)</f>
        <v>13</v>
      </c>
      <c r="H34" s="10">
        <v>58875334</v>
      </c>
      <c r="I34" s="7">
        <f>H34/E34</f>
        <v>20372.087889273356</v>
      </c>
      <c r="J34" s="7">
        <f>I34*G34</f>
        <v>264837.14256055362</v>
      </c>
      <c r="K34" s="1">
        <v>802</v>
      </c>
      <c r="L34" s="3">
        <f>K34/$E$5</f>
        <v>2.0335917922003894E-5</v>
      </c>
      <c r="M34" s="1">
        <f>ROUNDDOWN(L34*$E$6,0)</f>
        <v>3</v>
      </c>
      <c r="N34" s="10">
        <v>12050817</v>
      </c>
      <c r="O34" s="7">
        <f>N34/K34</f>
        <v>15025.956359102245</v>
      </c>
      <c r="P34" s="7">
        <f>M34*O34</f>
        <v>45077.869077306736</v>
      </c>
    </row>
    <row r="35" spans="2:16" s="2" customFormat="1" x14ac:dyDescent="0.3">
      <c r="B35" s="12" t="s">
        <v>110</v>
      </c>
      <c r="C35" t="s">
        <v>44</v>
      </c>
      <c r="D35" t="s">
        <v>21</v>
      </c>
      <c r="E35" s="1">
        <v>1775</v>
      </c>
      <c r="F35" s="3">
        <v>4.5007798393462499E-5</v>
      </c>
      <c r="G35" s="1">
        <f>ROUNDDOWN(F35*$E$6,0)</f>
        <v>8</v>
      </c>
      <c r="H35" s="10">
        <v>7706581</v>
      </c>
      <c r="I35" s="7">
        <f>H35/E35</f>
        <v>4341.7357746478874</v>
      </c>
      <c r="J35" s="7">
        <f>I35*G35</f>
        <v>34733.886197183099</v>
      </c>
      <c r="K35" s="1">
        <v>856</v>
      </c>
      <c r="L35" s="3">
        <f>K35/$E$5</f>
        <v>2.170516925341064E-5</v>
      </c>
      <c r="M35" s="1">
        <f>ROUNDDOWN(L35*$E$6,0)</f>
        <v>3</v>
      </c>
      <c r="N35" s="10">
        <v>6511664</v>
      </c>
      <c r="O35" s="7">
        <f>N35/K35</f>
        <v>7607.0841121495323</v>
      </c>
      <c r="P35" s="7">
        <f>M35*O35</f>
        <v>22821.252336448597</v>
      </c>
    </row>
    <row r="36" spans="2:16" s="2" customFormat="1" x14ac:dyDescent="0.3">
      <c r="B36" s="12" t="s">
        <v>110</v>
      </c>
      <c r="C36" t="s">
        <v>14</v>
      </c>
      <c r="D36" t="s">
        <v>21</v>
      </c>
      <c r="E36" s="1">
        <v>2174</v>
      </c>
      <c r="F36" s="3">
        <v>5.5125044342190101E-5</v>
      </c>
      <c r="G36" s="1">
        <f>ROUNDDOWN(F36*$E$6,0)</f>
        <v>10</v>
      </c>
      <c r="H36" s="10">
        <v>2703704</v>
      </c>
      <c r="I36" s="7">
        <f>H36/E36</f>
        <v>1243.6540938362466</v>
      </c>
      <c r="J36" s="7">
        <f>I36*G36</f>
        <v>12436.540938362466</v>
      </c>
      <c r="K36" s="1">
        <v>954</v>
      </c>
      <c r="L36" s="3">
        <f>K36/$E$5</f>
        <v>2.4190106854852512E-5</v>
      </c>
      <c r="M36" s="1">
        <f>ROUNDDOWN(L36*$E$6,0)</f>
        <v>4</v>
      </c>
      <c r="N36" s="11">
        <v>1180858</v>
      </c>
      <c r="O36" s="7">
        <f>N36/K36</f>
        <v>1237.796645702306</v>
      </c>
      <c r="P36" s="7">
        <f>M36*O36</f>
        <v>4951.1865828092241</v>
      </c>
    </row>
    <row r="37" spans="2:16" x14ac:dyDescent="0.3">
      <c r="J37" s="7">
        <f t="shared" ref="J8:J38" si="0">I37*G37</f>
        <v>0</v>
      </c>
      <c r="L37" s="3"/>
      <c r="M37" s="3"/>
      <c r="N37" s="10"/>
      <c r="O37" s="10"/>
    </row>
    <row r="38" spans="2:16" x14ac:dyDescent="0.3">
      <c r="E38" s="1">
        <f>SUM(E7:E36)</f>
        <v>59375</v>
      </c>
      <c r="I38" s="7">
        <f t="shared" ref="I9:I38" si="1">H38/E38</f>
        <v>0</v>
      </c>
      <c r="J38" s="7">
        <f t="shared" si="0"/>
        <v>0</v>
      </c>
      <c r="L38" s="3"/>
      <c r="M38" s="3"/>
      <c r="N38" s="10"/>
      <c r="O38" s="10"/>
    </row>
    <row r="40" spans="2:16" x14ac:dyDescent="0.3">
      <c r="C40" t="s">
        <v>71</v>
      </c>
    </row>
    <row r="41" spans="2:16" x14ac:dyDescent="0.3">
      <c r="C41" t="s">
        <v>72</v>
      </c>
    </row>
  </sheetData>
  <phoneticPr fontId="1" type="noConversion"/>
  <hyperlinks>
    <hyperlink ref="B7" r:id="rId1" location="?s=47" display="https://www.ic3.gov/Media/PDF/AnnualReport/2019State/StateReport.aspx#?s=47" xr:uid="{08B89EFF-C13D-4E87-B14B-00C96A31860D}"/>
    <hyperlink ref="B8:B36" r:id="rId2" location="?s=47" display="https://www.ic3.gov/Media/PDF/AnnualReport/2019State/StateReport.aspx#?s=47" xr:uid="{3DC89C06-09DC-423C-B04C-0C9020ACB76C}"/>
    <hyperlink ref="B5" r:id="rId3" xr:uid="{C6DD6FA2-BA07-4B10-9A96-A836419C18D1}"/>
    <hyperlink ref="B6" r:id="rId4" xr:uid="{B221DA8F-4A9B-4519-83F6-2F1B04F6AC78}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8CF1-8DE5-411C-9EAC-D0B24CFD95D6}">
  <dimension ref="B4:P43"/>
  <sheetViews>
    <sheetView topLeftCell="M1" workbookViewId="0">
      <selection activeCell="E37" sqref="E3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104</v>
      </c>
      <c r="D5" t="s">
        <v>7</v>
      </c>
      <c r="E5" s="1">
        <v>39538223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s="14" t="s">
        <v>58</v>
      </c>
      <c r="C6" t="s">
        <v>59</v>
      </c>
      <c r="D6" t="s">
        <v>7</v>
      </c>
      <c r="E6" s="13">
        <v>181560</v>
      </c>
      <c r="F6"/>
      <c r="G6"/>
      <c r="H6" s="5"/>
      <c r="I6" s="7"/>
      <c r="K6" s="8"/>
      <c r="L6" s="8"/>
      <c r="M6" s="8"/>
    </row>
    <row r="7" spans="2:16" s="2" customFormat="1" x14ac:dyDescent="0.3">
      <c r="B7" s="12" t="s">
        <v>111</v>
      </c>
      <c r="C7" t="s">
        <v>25</v>
      </c>
      <c r="D7" t="s">
        <v>21</v>
      </c>
      <c r="E7" s="1">
        <v>1497</v>
      </c>
      <c r="F7" s="3">
        <v>3.7862096129105203E-5</v>
      </c>
      <c r="G7" s="1">
        <f>ROUNDDOWN(F7*$E$6,0)</f>
        <v>6</v>
      </c>
      <c r="H7" s="10">
        <v>19531058</v>
      </c>
      <c r="I7" s="7">
        <f>H7/E7</f>
        <v>13046.798931195724</v>
      </c>
      <c r="J7" s="7">
        <f>I7*G7</f>
        <v>78280.793587174354</v>
      </c>
      <c r="K7" s="1">
        <v>778</v>
      </c>
      <c r="L7" s="3">
        <f>K7/$E$5</f>
        <v>1.9677161515326573E-5</v>
      </c>
      <c r="M7" s="1">
        <f>ROUNDDOWN(L7*$E$6,0)</f>
        <v>3</v>
      </c>
      <c r="N7" s="10">
        <v>8991086</v>
      </c>
      <c r="O7" s="7">
        <f>N7/K7</f>
        <v>11556.665809768638</v>
      </c>
      <c r="P7" s="7">
        <f>M7*O7</f>
        <v>34669.997429305913</v>
      </c>
    </row>
    <row r="8" spans="2:16" s="2" customFormat="1" x14ac:dyDescent="0.3">
      <c r="B8" s="12" t="s">
        <v>111</v>
      </c>
      <c r="C8" t="s">
        <v>23</v>
      </c>
      <c r="D8" t="s">
        <v>21</v>
      </c>
      <c r="E8" s="1">
        <v>2924</v>
      </c>
      <c r="F8" s="3">
        <v>7.3953753561458704E-5</v>
      </c>
      <c r="G8" s="1">
        <f>ROUNDDOWN(F8*$E$6,0)</f>
        <v>13</v>
      </c>
      <c r="H8" s="10"/>
      <c r="I8" s="7">
        <f>H8/E8</f>
        <v>0</v>
      </c>
      <c r="J8" s="7">
        <f>I8*G8</f>
        <v>0</v>
      </c>
      <c r="K8" s="1">
        <v>428</v>
      </c>
      <c r="L8" s="3">
        <f>K8/$E$5</f>
        <v>1.0824968031567832E-5</v>
      </c>
      <c r="M8" s="1">
        <f>ROUNDDOWN(L8*$E$6,0)</f>
        <v>1</v>
      </c>
      <c r="N8" s="10">
        <v>31866447</v>
      </c>
      <c r="O8" s="7">
        <f>N8/K8</f>
        <v>74454.315420560742</v>
      </c>
      <c r="P8" s="7">
        <f>M8*O8</f>
        <v>74454.315420560742</v>
      </c>
    </row>
    <row r="9" spans="2:16" s="2" customFormat="1" x14ac:dyDescent="0.3">
      <c r="B9" s="12" t="s">
        <v>111</v>
      </c>
      <c r="C9" t="s">
        <v>26</v>
      </c>
      <c r="D9" t="s">
        <v>21</v>
      </c>
      <c r="E9" s="1"/>
      <c r="F9" s="3">
        <v>0</v>
      </c>
      <c r="G9" s="1">
        <f>ROUNDDOWN(F9*$E$6,0)</f>
        <v>0</v>
      </c>
      <c r="H9" s="10"/>
      <c r="I9" s="7" t="e">
        <f>H9/E9</f>
        <v>#DIV/0!</v>
      </c>
      <c r="J9" s="7" t="e">
        <f>I9*G9</f>
        <v>#DIV/0!</v>
      </c>
      <c r="K9" s="1"/>
      <c r="L9" s="3">
        <f>K9/$E$5</f>
        <v>0</v>
      </c>
      <c r="M9" s="1">
        <f>ROUNDDOWN(L9*$E$6,0)</f>
        <v>0</v>
      </c>
      <c r="N9" s="10"/>
      <c r="O9" s="7" t="e">
        <f>N9/K9</f>
        <v>#DIV/0!</v>
      </c>
      <c r="P9" s="7" t="e">
        <f>M9*O9</f>
        <v>#DIV/0!</v>
      </c>
    </row>
    <row r="10" spans="2:16" s="2" customFormat="1" x14ac:dyDescent="0.3">
      <c r="B10" s="12" t="s">
        <v>111</v>
      </c>
      <c r="C10" t="s">
        <v>27</v>
      </c>
      <c r="D10" t="s">
        <v>21</v>
      </c>
      <c r="E10" s="1">
        <v>3110</v>
      </c>
      <c r="F10" s="3">
        <v>7.8658062098541998E-5</v>
      </c>
      <c r="G10" s="1">
        <f>ROUNDDOWN(F10*$E$6,0)</f>
        <v>14</v>
      </c>
      <c r="H10" s="10">
        <v>120492182</v>
      </c>
      <c r="I10" s="7">
        <f>H10/E10</f>
        <v>38743.466881028937</v>
      </c>
      <c r="J10" s="7">
        <f>I10*G10</f>
        <v>542408.53633440507</v>
      </c>
      <c r="K10" s="1">
        <v>1384</v>
      </c>
      <c r="L10" s="3">
        <f>K10/$E$5</f>
        <v>3.5004102232920282E-5</v>
      </c>
      <c r="M10" s="1">
        <f>ROUNDDOWN(L10*$E$6,0)</f>
        <v>6</v>
      </c>
      <c r="N10" s="10">
        <v>69686021</v>
      </c>
      <c r="O10" s="7">
        <f>N10/K10</f>
        <v>50351.171242774566</v>
      </c>
      <c r="P10" s="7">
        <f>M10*O10</f>
        <v>302107.02745664737</v>
      </c>
    </row>
    <row r="11" spans="2:16" s="2" customFormat="1" x14ac:dyDescent="0.3">
      <c r="B11" s="12" t="s">
        <v>111</v>
      </c>
      <c r="C11" t="s">
        <v>115</v>
      </c>
      <c r="D11" t="s">
        <v>21</v>
      </c>
      <c r="E11" s="1">
        <v>2637</v>
      </c>
      <c r="F11" s="3">
        <v>0</v>
      </c>
      <c r="G11" s="1">
        <f>ROUNDDOWN(F11*$E$6,0)</f>
        <v>0</v>
      </c>
      <c r="H11" s="11">
        <v>15484731</v>
      </c>
      <c r="I11" s="7">
        <f>H11/E11</f>
        <v>5872.1012514220702</v>
      </c>
      <c r="J11" s="7">
        <f>I11*G11</f>
        <v>0</v>
      </c>
      <c r="K11" s="1">
        <v>1128</v>
      </c>
      <c r="L11" s="3">
        <f>K11/$E$5</f>
        <v>2.8529354999085315E-5</v>
      </c>
      <c r="M11" s="1">
        <f>ROUNDDOWN(L11*$E$6,0)</f>
        <v>5</v>
      </c>
      <c r="N11" s="10">
        <v>9640764</v>
      </c>
      <c r="O11" s="7">
        <f>N11/K11</f>
        <v>8546.7765957446809</v>
      </c>
      <c r="P11" s="7">
        <f>M11*O11</f>
        <v>42733.882978723406</v>
      </c>
    </row>
    <row r="12" spans="2:16" s="2" customFormat="1" x14ac:dyDescent="0.3">
      <c r="B12" s="12" t="s">
        <v>111</v>
      </c>
      <c r="C12" t="s">
        <v>4</v>
      </c>
      <c r="D12" t="s">
        <v>21</v>
      </c>
      <c r="E12" s="1">
        <v>408</v>
      </c>
      <c r="F12" s="3">
        <v>1.0319128403924501E-5</v>
      </c>
      <c r="G12" s="1">
        <f>ROUNDDOWN(F12*$E$6,0)</f>
        <v>1</v>
      </c>
      <c r="H12" s="10">
        <v>434348</v>
      </c>
      <c r="I12" s="7">
        <f>H12/E12</f>
        <v>1064.5784313725489</v>
      </c>
      <c r="J12" s="7">
        <f>I12*G12</f>
        <v>1064.5784313725489</v>
      </c>
      <c r="K12" s="1">
        <v>85</v>
      </c>
      <c r="L12" s="3">
        <f>K12/$E$5</f>
        <v>2.1498184174842656E-6</v>
      </c>
      <c r="M12" s="1">
        <f>ROUNDDOWN(L12*$E$6,0)</f>
        <v>0</v>
      </c>
      <c r="N12" s="10">
        <v>11989</v>
      </c>
      <c r="O12" s="7">
        <f>N12/K12</f>
        <v>141.04705882352943</v>
      </c>
      <c r="P12" s="7">
        <f>M12*O12</f>
        <v>0</v>
      </c>
    </row>
    <row r="13" spans="2:16" s="2" customFormat="1" x14ac:dyDescent="0.3">
      <c r="B13" s="12" t="s">
        <v>111</v>
      </c>
      <c r="C13" t="s">
        <v>5</v>
      </c>
      <c r="D13" t="s">
        <v>21</v>
      </c>
      <c r="E13" s="1">
        <v>367</v>
      </c>
      <c r="F13" s="3">
        <v>9.2821571672555896E-6</v>
      </c>
      <c r="G13" s="1">
        <f>ROUNDDOWN(F13*$E$6,0)</f>
        <v>1</v>
      </c>
      <c r="H13" s="10">
        <v>26713249</v>
      </c>
      <c r="I13" s="7">
        <f>H13/E13</f>
        <v>72788.144414168943</v>
      </c>
      <c r="J13" s="7">
        <f>I13*G13</f>
        <v>72788.144414168943</v>
      </c>
      <c r="K13" s="1">
        <v>96</v>
      </c>
      <c r="L13" s="3">
        <f>K13/$E$5</f>
        <v>2.428030212688112E-6</v>
      </c>
      <c r="M13" s="1">
        <f>ROUNDDOWN(L13*$E$6,0)</f>
        <v>0</v>
      </c>
      <c r="N13" s="10">
        <v>5226532</v>
      </c>
      <c r="O13" s="7">
        <f>N13/K13</f>
        <v>54443.041666666664</v>
      </c>
      <c r="P13" s="7">
        <f>M13*O13</f>
        <v>0</v>
      </c>
    </row>
    <row r="14" spans="2:16" s="2" customFormat="1" x14ac:dyDescent="0.3">
      <c r="B14" s="12" t="s">
        <v>111</v>
      </c>
      <c r="C14" t="s">
        <v>29</v>
      </c>
      <c r="D14" t="s">
        <v>21</v>
      </c>
      <c r="E14" s="1">
        <v>2355</v>
      </c>
      <c r="F14" s="3">
        <v>5.9562616155005201E-5</v>
      </c>
      <c r="G14" s="1">
        <f>ROUNDDOWN(F14*$E$6,0)</f>
        <v>10</v>
      </c>
      <c r="H14" s="10">
        <v>12826945</v>
      </c>
      <c r="I14" s="7">
        <f>H14/E14</f>
        <v>5446.6857749469218</v>
      </c>
      <c r="J14" s="7">
        <f>I14*G14</f>
        <v>54466.857749469214</v>
      </c>
      <c r="K14" s="1">
        <v>1067</v>
      </c>
      <c r="L14" s="3">
        <f>K14/$E$5</f>
        <v>2.6986544134773076E-5</v>
      </c>
      <c r="M14" s="1">
        <f>ROUNDDOWN(L14*$E$6,0)</f>
        <v>4</v>
      </c>
      <c r="N14" s="10">
        <v>7805888</v>
      </c>
      <c r="O14" s="7">
        <f>N14/K14</f>
        <v>7315.7338331771325</v>
      </c>
      <c r="P14" s="7">
        <f>M14*O14</f>
        <v>29262.93533270853</v>
      </c>
    </row>
    <row r="15" spans="2:16" s="2" customFormat="1" x14ac:dyDescent="0.3">
      <c r="B15" s="12" t="s">
        <v>111</v>
      </c>
      <c r="C15" t="s">
        <v>8</v>
      </c>
      <c r="D15" t="s">
        <v>21</v>
      </c>
      <c r="E15" s="1">
        <v>11089</v>
      </c>
      <c r="F15" s="3">
        <v>2.8046278154685901E-4</v>
      </c>
      <c r="G15" s="1">
        <f>ROUNDDOWN(F15*$E$6,0)</f>
        <v>50</v>
      </c>
      <c r="H15" s="10">
        <v>16283934</v>
      </c>
      <c r="I15" s="7">
        <f>H15/E15</f>
        <v>1468.4763278925061</v>
      </c>
      <c r="J15" s="7">
        <f>I15*G15</f>
        <v>73423.816394625304</v>
      </c>
      <c r="K15" s="1">
        <v>1154</v>
      </c>
      <c r="L15" s="3">
        <f>K15/$E$5</f>
        <v>2.9186946515021679E-5</v>
      </c>
      <c r="M15" s="1">
        <f>ROUNDDOWN(L15*$E$6,0)</f>
        <v>5</v>
      </c>
      <c r="N15" s="10">
        <v>3408726</v>
      </c>
      <c r="O15" s="7">
        <f>N15/K15</f>
        <v>2953.8353552859617</v>
      </c>
      <c r="P15" s="7">
        <f>M15*O15</f>
        <v>14769.176776429809</v>
      </c>
    </row>
    <row r="16" spans="2:16" s="2" customFormat="1" x14ac:dyDescent="0.3">
      <c r="B16" s="12" t="s">
        <v>111</v>
      </c>
      <c r="C16" t="s">
        <v>30</v>
      </c>
      <c r="D16" t="s">
        <v>21</v>
      </c>
      <c r="E16" s="1">
        <v>1439</v>
      </c>
      <c r="F16" s="3">
        <v>3.6395161208939501E-5</v>
      </c>
      <c r="G16" s="1">
        <f>ROUNDDOWN(F16*$E$6,0)</f>
        <v>6</v>
      </c>
      <c r="H16" s="10">
        <v>28344200</v>
      </c>
      <c r="I16" s="7">
        <f>H16/E16</f>
        <v>19697.150799166087</v>
      </c>
      <c r="J16" s="7">
        <f>I16*G16</f>
        <v>118182.90479499652</v>
      </c>
      <c r="K16" s="1">
        <v>296</v>
      </c>
      <c r="L16" s="3">
        <f>K16/$E$5</f>
        <v>7.4864264891216787E-6</v>
      </c>
      <c r="M16" s="1">
        <f>ROUNDDOWN(L16*$E$6,0)</f>
        <v>1</v>
      </c>
      <c r="N16" s="10">
        <v>3835156</v>
      </c>
      <c r="O16" s="7">
        <f>N16/K16</f>
        <v>12956.608108108108</v>
      </c>
      <c r="P16" s="7">
        <f>M16*O16</f>
        <v>12956.608108108108</v>
      </c>
    </row>
    <row r="17" spans="2:16" s="2" customFormat="1" x14ac:dyDescent="0.3">
      <c r="B17" s="12" t="s">
        <v>111</v>
      </c>
      <c r="C17" t="s">
        <v>31</v>
      </c>
      <c r="D17" t="s">
        <v>21</v>
      </c>
      <c r="E17" s="1"/>
      <c r="F17" s="3">
        <v>0</v>
      </c>
      <c r="G17" s="1">
        <f>ROUNDDOWN(F17*$E$6,0)</f>
        <v>0</v>
      </c>
      <c r="H17" s="10"/>
      <c r="I17" s="7" t="e">
        <f>H17/E17</f>
        <v>#DIV/0!</v>
      </c>
      <c r="J17" s="7" t="e">
        <f>I17*G17</f>
        <v>#DIV/0!</v>
      </c>
      <c r="K17" s="1"/>
      <c r="L17" s="3">
        <f>K17/$E$5</f>
        <v>0</v>
      </c>
      <c r="M17" s="1">
        <f>ROUNDDOWN(L17*$E$6,0)</f>
        <v>0</v>
      </c>
      <c r="N17" s="11"/>
      <c r="O17" s="7" t="e">
        <f>N17/K17</f>
        <v>#DIV/0!</v>
      </c>
      <c r="P17" s="7" t="e">
        <f>M17*O17</f>
        <v>#DIV/0!</v>
      </c>
    </row>
    <row r="18" spans="2:16" s="2" customFormat="1" x14ac:dyDescent="0.3">
      <c r="B18" s="12" t="s">
        <v>111</v>
      </c>
      <c r="C18" t="s">
        <v>32</v>
      </c>
      <c r="D18" t="s">
        <v>21</v>
      </c>
      <c r="E18" s="1">
        <v>501</v>
      </c>
      <c r="F18" s="3">
        <v>1.26712826724661E-5</v>
      </c>
      <c r="G18" s="1">
        <f>ROUNDDOWN(F18*$E$6,0)</f>
        <v>2</v>
      </c>
      <c r="H18" s="10">
        <v>1669155</v>
      </c>
      <c r="I18" s="7">
        <f>H18/E18</f>
        <v>3331.6467065868264</v>
      </c>
      <c r="J18" s="7">
        <f>I18*G18</f>
        <v>6663.2934131736529</v>
      </c>
      <c r="K18" s="1">
        <v>226</v>
      </c>
      <c r="L18" s="3">
        <f>K18/$E$5</f>
        <v>5.7159877923699304E-6</v>
      </c>
      <c r="M18" s="1">
        <f>ROUNDDOWN(L18*$E$6,0)</f>
        <v>1</v>
      </c>
      <c r="N18" s="10">
        <v>1560816</v>
      </c>
      <c r="O18" s="7">
        <f>N18/K18</f>
        <v>6906.2654867256633</v>
      </c>
      <c r="P18" s="7">
        <f>M18*O18</f>
        <v>6906.2654867256633</v>
      </c>
    </row>
    <row r="19" spans="2:16" s="2" customFormat="1" x14ac:dyDescent="0.3">
      <c r="B19" s="12" t="s">
        <v>111</v>
      </c>
      <c r="C19" t="s">
        <v>33</v>
      </c>
      <c r="D19" t="s">
        <v>21</v>
      </c>
      <c r="E19" s="1">
        <v>3370</v>
      </c>
      <c r="F19" s="3">
        <v>8.5233977257905596E-5</v>
      </c>
      <c r="G19" s="1">
        <f>ROUNDDOWN(F19*$E$6,0)</f>
        <v>15</v>
      </c>
      <c r="H19" s="10">
        <v>23011137</v>
      </c>
      <c r="I19" s="7">
        <f>H19/E19</f>
        <v>6828.2305637982199</v>
      </c>
      <c r="J19" s="7">
        <f>I19*G19</f>
        <v>102423.4584569733</v>
      </c>
      <c r="K19" s="1">
        <v>1112</v>
      </c>
      <c r="L19" s="3">
        <f>K19/$E$5</f>
        <v>2.8124683296970631E-5</v>
      </c>
      <c r="M19" s="1">
        <f>ROUNDDOWN(L19*$E$6,0)</f>
        <v>5</v>
      </c>
      <c r="N19" s="10">
        <v>9552167</v>
      </c>
      <c r="O19" s="7">
        <f>N19/K19</f>
        <v>8590.0782374100727</v>
      </c>
      <c r="P19" s="7">
        <f>M19*O19</f>
        <v>42950.391187050365</v>
      </c>
    </row>
    <row r="20" spans="2:16" s="2" customFormat="1" x14ac:dyDescent="0.3">
      <c r="B20" s="12" t="s">
        <v>111</v>
      </c>
      <c r="C20" t="s">
        <v>34</v>
      </c>
      <c r="D20" t="s">
        <v>21</v>
      </c>
      <c r="E20" s="1">
        <v>1026</v>
      </c>
      <c r="F20" s="3">
        <v>2.5949572898104199E-5</v>
      </c>
      <c r="G20" s="1">
        <f>ROUNDDOWN(F20*$E$6,0)</f>
        <v>4</v>
      </c>
      <c r="H20" s="10"/>
      <c r="I20" s="7">
        <f>H20/E20</f>
        <v>0</v>
      </c>
      <c r="J20" s="7">
        <f>I20*G20</f>
        <v>0</v>
      </c>
      <c r="K20" s="1">
        <v>762</v>
      </c>
      <c r="L20" s="3">
        <f>K20/$E$5</f>
        <v>1.9272489813211889E-5</v>
      </c>
      <c r="M20" s="1">
        <f>ROUNDDOWN(L20*$E$6,0)</f>
        <v>3</v>
      </c>
      <c r="N20" s="10">
        <v>36608176</v>
      </c>
      <c r="O20" s="7">
        <f>N20/K20</f>
        <v>48042.22572178478</v>
      </c>
      <c r="P20" s="7">
        <f>M20*O20</f>
        <v>144126.67716535434</v>
      </c>
    </row>
    <row r="21" spans="2:16" s="2" customFormat="1" x14ac:dyDescent="0.3">
      <c r="B21" s="12" t="s">
        <v>111</v>
      </c>
      <c r="C21" t="s">
        <v>35</v>
      </c>
      <c r="D21" t="s">
        <v>21</v>
      </c>
      <c r="E21" s="1">
        <v>725</v>
      </c>
      <c r="F21" s="3">
        <v>1.83366865020717E-5</v>
      </c>
      <c r="G21" s="1">
        <f>ROUNDDOWN(F21*$E$6,0)</f>
        <v>3</v>
      </c>
      <c r="H21" s="10">
        <v>13169635</v>
      </c>
      <c r="I21" s="7">
        <f>H21/E21</f>
        <v>18165.013793103448</v>
      </c>
      <c r="J21" s="7">
        <f>I21*G21</f>
        <v>54495.041379310343</v>
      </c>
      <c r="K21" s="1"/>
      <c r="L21" s="3">
        <f>K21/$E$5</f>
        <v>0</v>
      </c>
      <c r="M21" s="1">
        <f>ROUNDDOWN(L21*$E$6,0)</f>
        <v>0</v>
      </c>
      <c r="N21" s="10">
        <v>6481705</v>
      </c>
      <c r="O21" s="7" t="e">
        <f>N21/K21</f>
        <v>#DIV/0!</v>
      </c>
      <c r="P21" s="7" t="e">
        <f>M21*O21</f>
        <v>#DIV/0!</v>
      </c>
    </row>
    <row r="22" spans="2:16" s="2" customFormat="1" x14ac:dyDescent="0.3">
      <c r="B22" s="12" t="s">
        <v>111</v>
      </c>
      <c r="C22" t="s">
        <v>9</v>
      </c>
      <c r="D22" t="s">
        <v>21</v>
      </c>
      <c r="E22" s="1">
        <v>185</v>
      </c>
      <c r="F22" s="3">
        <v>4.6790165557010498E-6</v>
      </c>
      <c r="G22" s="1">
        <f>ROUNDDOWN(F22*$E$6,0)</f>
        <v>0</v>
      </c>
      <c r="H22" s="10">
        <v>1645813</v>
      </c>
      <c r="I22" s="7">
        <f>H22/E22</f>
        <v>8896.286486486486</v>
      </c>
      <c r="J22" s="7">
        <f>I22*G22</f>
        <v>0</v>
      </c>
      <c r="K22" s="1">
        <v>73</v>
      </c>
      <c r="L22" s="3">
        <f>K22/$E$5</f>
        <v>1.8463146408982517E-6</v>
      </c>
      <c r="M22" s="1">
        <f>ROUNDDOWN(L22*$E$6,0)</f>
        <v>0</v>
      </c>
      <c r="N22" s="10"/>
      <c r="O22" s="7">
        <f>N22/K22</f>
        <v>0</v>
      </c>
      <c r="P22" s="7">
        <f>M22*O22</f>
        <v>0</v>
      </c>
    </row>
    <row r="23" spans="2:16" s="2" customFormat="1" x14ac:dyDescent="0.3">
      <c r="B23" s="12" t="s">
        <v>111</v>
      </c>
      <c r="C23" t="s">
        <v>36</v>
      </c>
      <c r="D23" t="s">
        <v>21</v>
      </c>
      <c r="E23" s="1"/>
      <c r="F23" s="3">
        <v>0</v>
      </c>
      <c r="G23" s="1">
        <f>ROUNDDOWN(F23*$E$6,0)</f>
        <v>0</v>
      </c>
      <c r="H23" s="10"/>
      <c r="I23" s="7" t="e">
        <f>H23/E23</f>
        <v>#DIV/0!</v>
      </c>
      <c r="J23" s="7" t="e">
        <f>I23*G23</f>
        <v>#DIV/0!</v>
      </c>
      <c r="K23" s="1"/>
      <c r="L23" s="3">
        <f>K23/$E$5</f>
        <v>0</v>
      </c>
      <c r="M23" s="1">
        <f>ROUNDDOWN(L23*$E$6,0)</f>
        <v>0</v>
      </c>
      <c r="N23" s="10"/>
      <c r="O23" s="7" t="e">
        <f>N23/K23</f>
        <v>#DIV/0!</v>
      </c>
      <c r="P23" s="7" t="e">
        <f>M23*O23</f>
        <v>#DIV/0!</v>
      </c>
    </row>
    <row r="24" spans="2:16" s="2" customFormat="1" x14ac:dyDescent="0.3">
      <c r="B24" s="12" t="s">
        <v>111</v>
      </c>
      <c r="C24" t="s">
        <v>37</v>
      </c>
      <c r="D24" t="s">
        <v>21</v>
      </c>
      <c r="E24" s="1"/>
      <c r="F24" s="3">
        <v>0</v>
      </c>
      <c r="G24" s="1">
        <f>ROUNDDOWN(F24*$E$6,0)</f>
        <v>0</v>
      </c>
      <c r="H24" s="10"/>
      <c r="I24" s="7" t="e">
        <f>H24/E24</f>
        <v>#DIV/0!</v>
      </c>
      <c r="J24" s="7" t="e">
        <f>I24*G24</f>
        <v>#DIV/0!</v>
      </c>
      <c r="K24" s="1"/>
      <c r="L24" s="3">
        <f>K24/$E$5</f>
        <v>0</v>
      </c>
      <c r="M24" s="1">
        <f>ROUNDDOWN(L24*$E$6,0)</f>
        <v>0</v>
      </c>
      <c r="N24" s="10"/>
      <c r="O24" s="7" t="e">
        <f>N24/K24</f>
        <v>#DIV/0!</v>
      </c>
      <c r="P24" s="7" t="e">
        <f>M24*O24</f>
        <v>#DIV/0!</v>
      </c>
    </row>
    <row r="25" spans="2:16" s="2" customFormat="1" x14ac:dyDescent="0.3">
      <c r="B25" s="12" t="s">
        <v>111</v>
      </c>
      <c r="C25" t="s">
        <v>38</v>
      </c>
      <c r="D25" t="s">
        <v>21</v>
      </c>
      <c r="E25" s="1">
        <v>5692</v>
      </c>
      <c r="F25" s="3">
        <v>1.43961958027299E-4</v>
      </c>
      <c r="G25" s="1">
        <f>ROUNDDOWN(F25*$E$6,0)</f>
        <v>26</v>
      </c>
      <c r="H25" s="10">
        <v>0</v>
      </c>
      <c r="I25" s="7">
        <f>H25/E25</f>
        <v>0</v>
      </c>
      <c r="J25" s="7">
        <f>I25*G25</f>
        <v>0</v>
      </c>
      <c r="K25" s="1">
        <v>3293</v>
      </c>
      <c r="L25" s="3">
        <f>K25/$E$5</f>
        <v>8.3286494691478673E-5</v>
      </c>
      <c r="M25" s="1">
        <f>ROUNDDOWN(L25*$E$6,0)</f>
        <v>15</v>
      </c>
      <c r="N25" s="10">
        <v>0</v>
      </c>
      <c r="O25" s="7">
        <f>N25/K25</f>
        <v>0</v>
      </c>
      <c r="P25" s="7">
        <f>M25*O25</f>
        <v>0</v>
      </c>
    </row>
    <row r="26" spans="2:16" s="2" customFormat="1" x14ac:dyDescent="0.3">
      <c r="B26" s="12" t="s">
        <v>111</v>
      </c>
      <c r="C26" t="s">
        <v>39</v>
      </c>
      <c r="D26" t="s">
        <v>21</v>
      </c>
      <c r="E26" s="1">
        <v>13151</v>
      </c>
      <c r="F26" s="3">
        <v>3.3261484715688897E-4</v>
      </c>
      <c r="G26" s="1">
        <f>ROUNDDOWN(F26*$E$6,0)</f>
        <v>60</v>
      </c>
      <c r="H26" s="10">
        <v>26912115</v>
      </c>
      <c r="I26" s="7">
        <f>H26/E26</f>
        <v>2046.3930499581782</v>
      </c>
      <c r="J26" s="7">
        <f>I26*G26</f>
        <v>122783.5829974907</v>
      </c>
      <c r="K26" s="1">
        <v>6358</v>
      </c>
      <c r="L26" s="3">
        <f>K26/$E$5</f>
        <v>1.6080641762782308E-4</v>
      </c>
      <c r="M26" s="1">
        <f>ROUNDDOWN(L26*$E$6,0)</f>
        <v>29</v>
      </c>
      <c r="N26" s="10">
        <v>19874738</v>
      </c>
      <c r="O26" s="7">
        <f>N26/K26</f>
        <v>3125.9418055992451</v>
      </c>
      <c r="P26" s="7">
        <f>M26*O26</f>
        <v>90652.312362378114</v>
      </c>
    </row>
    <row r="27" spans="2:16" s="2" customFormat="1" x14ac:dyDescent="0.3">
      <c r="B27" s="12" t="s">
        <v>111</v>
      </c>
      <c r="C27" t="s">
        <v>40</v>
      </c>
      <c r="D27" t="s">
        <v>21</v>
      </c>
      <c r="E27" s="1">
        <v>1147</v>
      </c>
      <c r="F27" s="3">
        <v>2.9009902645346498E-5</v>
      </c>
      <c r="G27" s="1">
        <f>ROUNDDOWN(F27*$E$6,0)</f>
        <v>5</v>
      </c>
      <c r="H27" s="10">
        <v>12314110</v>
      </c>
      <c r="I27" s="7">
        <f>H27/E27</f>
        <v>10735.928509154315</v>
      </c>
      <c r="J27" s="7">
        <f>I27*G27</f>
        <v>53679.642545771574</v>
      </c>
      <c r="K27" s="1">
        <v>1607</v>
      </c>
      <c r="L27" s="3">
        <f>K27/$E$5</f>
        <v>4.0644214081143708E-5</v>
      </c>
      <c r="M27" s="1">
        <f>ROUNDDOWN(L27*$E$6,0)</f>
        <v>7</v>
      </c>
      <c r="N27" s="10">
        <v>6679784</v>
      </c>
      <c r="O27" s="7">
        <f>N27/K27</f>
        <v>4156.6795270690727</v>
      </c>
      <c r="P27" s="7">
        <f>M27*O27</f>
        <v>29096.756689483511</v>
      </c>
    </row>
    <row r="28" spans="2:16" s="2" customFormat="1" x14ac:dyDescent="0.3">
      <c r="B28" s="12" t="s">
        <v>111</v>
      </c>
      <c r="C28" t="s">
        <v>41</v>
      </c>
      <c r="D28" t="s">
        <v>21</v>
      </c>
      <c r="E28" s="1">
        <v>1532</v>
      </c>
      <c r="F28" s="3">
        <v>3.87473154774811E-5</v>
      </c>
      <c r="G28" s="1">
        <f>ROUNDDOWN(F28*$E$6,0)</f>
        <v>7</v>
      </c>
      <c r="H28" s="10">
        <v>8602104</v>
      </c>
      <c r="I28" s="7">
        <f>H28/E28</f>
        <v>5614.9503916449084</v>
      </c>
      <c r="J28" s="7">
        <f>I28*G28</f>
        <v>39304.652741514357</v>
      </c>
      <c r="K28" s="1">
        <v>654</v>
      </c>
      <c r="L28" s="3">
        <f>K28/$E$5</f>
        <v>1.6540955823937764E-5</v>
      </c>
      <c r="M28" s="1">
        <f>ROUNDDOWN(L28*$E$6,0)</f>
        <v>3</v>
      </c>
      <c r="N28" s="10">
        <v>3296636</v>
      </c>
      <c r="O28" s="7">
        <f>N28/K28</f>
        <v>5040.7278287461777</v>
      </c>
      <c r="P28" s="7">
        <f>M28*O28</f>
        <v>15122.183486238533</v>
      </c>
    </row>
    <row r="29" spans="2:16" s="2" customFormat="1" x14ac:dyDescent="0.3">
      <c r="B29" s="12" t="s">
        <v>111</v>
      </c>
      <c r="C29" t="s">
        <v>10</v>
      </c>
      <c r="D29" t="s">
        <v>21</v>
      </c>
      <c r="E29" s="1">
        <v>6372</v>
      </c>
      <c r="F29" s="3">
        <v>1.61160505367173E-4</v>
      </c>
      <c r="G29" s="1">
        <f>ROUNDDOWN(F29*$E$6,0)</f>
        <v>29</v>
      </c>
      <c r="H29" s="10">
        <v>23133897</v>
      </c>
      <c r="I29" s="7">
        <f>H29/E29</f>
        <v>3630.5550847457625</v>
      </c>
      <c r="J29" s="7">
        <f>I29*G29</f>
        <v>105286.09745762711</v>
      </c>
      <c r="K29" s="1">
        <v>2480</v>
      </c>
      <c r="L29" s="3">
        <f>K29/$E$5</f>
        <v>6.2724113827776229E-5</v>
      </c>
      <c r="M29" s="1">
        <f>ROUNDDOWN(L29*$E$6,0)</f>
        <v>11</v>
      </c>
      <c r="N29" s="10">
        <v>8417839</v>
      </c>
      <c r="O29" s="7">
        <f>N29/K29</f>
        <v>3394.2899193548387</v>
      </c>
      <c r="P29" s="7">
        <f>M29*O29</f>
        <v>37337.189112903223</v>
      </c>
    </row>
    <row r="30" spans="2:16" s="2" customFormat="1" x14ac:dyDescent="0.3">
      <c r="B30" s="12" t="s">
        <v>111</v>
      </c>
      <c r="C30" t="s">
        <v>11</v>
      </c>
      <c r="D30" t="s">
        <v>21</v>
      </c>
      <c r="E30" s="1">
        <v>3302</v>
      </c>
      <c r="F30" s="3">
        <v>8.3514122523918203E-5</v>
      </c>
      <c r="G30" s="1">
        <f>ROUNDDOWN(F30*$E$6,0)</f>
        <v>15</v>
      </c>
      <c r="H30" s="10">
        <v>8864419</v>
      </c>
      <c r="I30" s="7">
        <f>H30/E30</f>
        <v>2684.5605693519078</v>
      </c>
      <c r="J30" s="7">
        <f>I30*G30</f>
        <v>40268.408540278615</v>
      </c>
      <c r="K30" s="1">
        <v>774</v>
      </c>
      <c r="L30" s="3">
        <f>K30/$E$5</f>
        <v>1.9575993589797902E-5</v>
      </c>
      <c r="M30" s="1">
        <f>ROUNDDOWN(L30*$E$6,0)</f>
        <v>3</v>
      </c>
      <c r="N30" s="10">
        <v>2366193</v>
      </c>
      <c r="O30" s="7">
        <f>N30/K30</f>
        <v>3057.0968992248063</v>
      </c>
      <c r="P30" s="7">
        <f>M30*O30</f>
        <v>9171.2906976744198</v>
      </c>
    </row>
    <row r="31" spans="2:16" s="2" customFormat="1" x14ac:dyDescent="0.3">
      <c r="B31" s="12" t="s">
        <v>111</v>
      </c>
      <c r="C31" t="s">
        <v>12</v>
      </c>
      <c r="D31" t="s">
        <v>21</v>
      </c>
      <c r="E31" s="1">
        <v>323</v>
      </c>
      <c r="F31" s="3">
        <v>8.1693099864402093E-6</v>
      </c>
      <c r="G31" s="1">
        <f>ROUNDDOWN(F31*$E$6,0)</f>
        <v>1</v>
      </c>
      <c r="H31" s="10">
        <v>1123833</v>
      </c>
      <c r="I31" s="7">
        <f>H31/E31</f>
        <v>3479.3591331269349</v>
      </c>
      <c r="J31" s="7">
        <f>I31*G31</f>
        <v>3479.3591331269349</v>
      </c>
      <c r="K31" s="1">
        <v>23</v>
      </c>
      <c r="L31" s="3">
        <f>K31/$E$5</f>
        <v>5.8171557178986015E-7</v>
      </c>
      <c r="M31" s="1">
        <f>ROUNDDOWN(L31*$E$6,0)</f>
        <v>0</v>
      </c>
      <c r="N31" s="10">
        <v>3364</v>
      </c>
      <c r="O31" s="7">
        <f>N31/K31</f>
        <v>146.2608695652174</v>
      </c>
      <c r="P31" s="7">
        <f>M31*O31</f>
        <v>0</v>
      </c>
    </row>
    <row r="32" spans="2:16" s="2" customFormat="1" x14ac:dyDescent="0.3">
      <c r="B32" s="12" t="s">
        <v>111</v>
      </c>
      <c r="C32" t="s">
        <v>42</v>
      </c>
      <c r="D32" t="s">
        <v>21</v>
      </c>
      <c r="E32" s="1">
        <v>2493</v>
      </c>
      <c r="F32" s="3">
        <v>6.3052909585744403E-5</v>
      </c>
      <c r="G32" s="1">
        <f>ROUNDDOWN(F32*$E$6,0)</f>
        <v>11</v>
      </c>
      <c r="H32" s="10">
        <v>34381477</v>
      </c>
      <c r="I32" s="7">
        <f>H32/E32</f>
        <v>13791.20617729643</v>
      </c>
      <c r="J32" s="7">
        <f>I32*G32</f>
        <v>151703.26795026072</v>
      </c>
      <c r="K32" s="1">
        <v>1017</v>
      </c>
      <c r="L32" s="3">
        <f>K32/$E$5</f>
        <v>2.5721945065664686E-5</v>
      </c>
      <c r="M32" s="1">
        <f>ROUNDDOWN(L32*$E$6,0)</f>
        <v>4</v>
      </c>
      <c r="N32" s="10">
        <v>15458352</v>
      </c>
      <c r="O32" s="7">
        <f>N32/K32</f>
        <v>15199.952802359881</v>
      </c>
      <c r="P32" s="7">
        <f>M32*O32</f>
        <v>60799.811209439526</v>
      </c>
    </row>
    <row r="33" spans="2:16" s="2" customFormat="1" x14ac:dyDescent="0.3">
      <c r="B33" s="12" t="s">
        <v>111</v>
      </c>
      <c r="C33" t="s">
        <v>43</v>
      </c>
      <c r="D33" t="s">
        <v>21</v>
      </c>
      <c r="E33" s="1"/>
      <c r="F33" s="3">
        <v>0</v>
      </c>
      <c r="G33" s="1">
        <f>ROUNDDOWN(F33*$E$6,0)</f>
        <v>0</v>
      </c>
      <c r="H33" s="10"/>
      <c r="I33" s="7" t="e">
        <f>H33/E33</f>
        <v>#DIV/0!</v>
      </c>
      <c r="J33" s="7" t="e">
        <f>I33*G33</f>
        <v>#DIV/0!</v>
      </c>
      <c r="K33" s="1"/>
      <c r="L33" s="3">
        <f>K33/$E$5</f>
        <v>0</v>
      </c>
      <c r="M33" s="1">
        <f>ROUNDDOWN(L33*$E$6,0)</f>
        <v>0</v>
      </c>
      <c r="N33" s="10"/>
      <c r="O33" s="7" t="e">
        <f>N33/K33</f>
        <v>#DIV/0!</v>
      </c>
      <c r="P33" s="7" t="e">
        <f>M33*O33</f>
        <v>#DIV/0!</v>
      </c>
    </row>
    <row r="34" spans="2:16" s="2" customFormat="1" x14ac:dyDescent="0.3">
      <c r="B34" s="12" t="s">
        <v>111</v>
      </c>
      <c r="C34" t="s">
        <v>13</v>
      </c>
      <c r="D34" t="s">
        <v>21</v>
      </c>
      <c r="E34" s="1">
        <v>3204</v>
      </c>
      <c r="F34" s="3">
        <v>8.1035508348465698E-5</v>
      </c>
      <c r="G34" s="1">
        <f>ROUNDDOWN(F34*$E$6,0)</f>
        <v>14</v>
      </c>
      <c r="H34" s="10">
        <v>33552417</v>
      </c>
      <c r="I34" s="7">
        <f>H34/E34</f>
        <v>10472.040262172284</v>
      </c>
      <c r="J34" s="7">
        <f>I34*G34</f>
        <v>146608.56367041197</v>
      </c>
      <c r="K34" s="1">
        <v>972</v>
      </c>
      <c r="L34" s="3">
        <f>K34/$E$5</f>
        <v>2.4583805903467134E-5</v>
      </c>
      <c r="M34" s="1">
        <f>ROUNDDOWN(L34*$E$6,0)</f>
        <v>4</v>
      </c>
      <c r="N34" s="10">
        <v>13355303</v>
      </c>
      <c r="O34" s="7">
        <f>N34/K34</f>
        <v>13740.023662551441</v>
      </c>
      <c r="P34" s="7">
        <f>M34*O34</f>
        <v>54960.094650205763</v>
      </c>
    </row>
    <row r="35" spans="2:16" s="2" customFormat="1" x14ac:dyDescent="0.3">
      <c r="B35" s="12" t="s">
        <v>111</v>
      </c>
      <c r="C35" t="s">
        <v>44</v>
      </c>
      <c r="D35" t="s">
        <v>21</v>
      </c>
      <c r="E35" s="1">
        <v>2164</v>
      </c>
      <c r="F35" s="3">
        <v>5.4731847711011198E-5</v>
      </c>
      <c r="G35" s="1">
        <f>ROUNDDOWN(F35*$E$6,0)</f>
        <v>9</v>
      </c>
      <c r="H35" s="10">
        <v>25355911</v>
      </c>
      <c r="I35" s="7">
        <f>H35/E35</f>
        <v>11717.149260628466</v>
      </c>
      <c r="J35" s="7">
        <f>I35*G35</f>
        <v>105454.34334565621</v>
      </c>
      <c r="K35" s="1">
        <v>967</v>
      </c>
      <c r="L35" s="3">
        <f>K35/$E$5</f>
        <v>2.4457345996556296E-5</v>
      </c>
      <c r="M35" s="1">
        <f>ROUNDDOWN(L35*$E$6,0)</f>
        <v>4</v>
      </c>
      <c r="N35" s="10">
        <v>13821124</v>
      </c>
      <c r="O35" s="7">
        <f>N35/K35</f>
        <v>14292.785935884178</v>
      </c>
      <c r="P35" s="7">
        <f>M35*O35</f>
        <v>57171.143743536712</v>
      </c>
    </row>
    <row r="36" spans="2:16" s="2" customFormat="1" x14ac:dyDescent="0.3">
      <c r="B36" s="12" t="s">
        <v>111</v>
      </c>
      <c r="C36" t="s">
        <v>14</v>
      </c>
      <c r="D36" t="s">
        <v>21</v>
      </c>
      <c r="E36" s="1">
        <v>2923</v>
      </c>
      <c r="F36" s="3">
        <v>7.3928461580076598E-5</v>
      </c>
      <c r="G36" s="1">
        <f>ROUNDDOWN(F36*$E$6,0)</f>
        <v>13</v>
      </c>
      <c r="H36" s="10">
        <v>1182816</v>
      </c>
      <c r="I36" s="7">
        <f>H36/E36</f>
        <v>404.65822784810126</v>
      </c>
      <c r="J36" s="7">
        <f>I36*G36</f>
        <v>5260.5569620253164</v>
      </c>
      <c r="K36" s="1">
        <v>1291</v>
      </c>
      <c r="L36" s="3">
        <f>K36/$E$5</f>
        <v>3.2651947964378669E-5</v>
      </c>
      <c r="M36" s="1">
        <f>ROUNDDOWN(L36*$E$6,0)</f>
        <v>5</v>
      </c>
      <c r="N36" s="11">
        <v>849931</v>
      </c>
      <c r="O36" s="7">
        <f>N36/K36</f>
        <v>658.35089078233932</v>
      </c>
      <c r="P36" s="7">
        <f>M36*O36</f>
        <v>3291.7544539116966</v>
      </c>
    </row>
    <row r="37" spans="2:16" x14ac:dyDescent="0.3">
      <c r="J37" s="7">
        <f t="shared" ref="J8:J38" si="0">I37*G37</f>
        <v>0</v>
      </c>
      <c r="L37" s="3"/>
      <c r="M37" s="3"/>
      <c r="N37" s="10"/>
      <c r="O37" s="10"/>
    </row>
    <row r="38" spans="2:16" x14ac:dyDescent="0.3">
      <c r="E38" s="1">
        <f>SUM(E7:E36)</f>
        <v>73936</v>
      </c>
      <c r="G38">
        <f>SUM(G8:G36)</f>
        <v>309</v>
      </c>
      <c r="I38" s="7">
        <f t="shared" ref="I9:I38" si="1">H38/E38</f>
        <v>0</v>
      </c>
      <c r="J38" s="7">
        <f t="shared" si="0"/>
        <v>0</v>
      </c>
      <c r="L38" s="3"/>
      <c r="M38" s="3"/>
      <c r="N38" s="10"/>
      <c r="O38" s="10"/>
    </row>
    <row r="39" spans="2:16" x14ac:dyDescent="0.3">
      <c r="C39" t="s">
        <v>64</v>
      </c>
    </row>
    <row r="40" spans="2:16" x14ac:dyDescent="0.3">
      <c r="C40" t="s">
        <v>65</v>
      </c>
    </row>
    <row r="41" spans="2:16" x14ac:dyDescent="0.3">
      <c r="O41" t="s">
        <v>66</v>
      </c>
    </row>
    <row r="42" spans="2:16" x14ac:dyDescent="0.3">
      <c r="O42" t="s">
        <v>67</v>
      </c>
    </row>
    <row r="43" spans="2:16" x14ac:dyDescent="0.3">
      <c r="O43" t="s">
        <v>68</v>
      </c>
    </row>
  </sheetData>
  <phoneticPr fontId="1" type="noConversion"/>
  <hyperlinks>
    <hyperlink ref="B5" r:id="rId1" xr:uid="{BFA19B1A-AC96-4133-9BF9-E03E97A239D2}"/>
    <hyperlink ref="B6" r:id="rId2" xr:uid="{58A3DCA4-C320-49A8-9D1B-6A30532662B5}"/>
    <hyperlink ref="B7" r:id="rId3" location="?s=47" display="https://www.ic3.gov/Media/PDF/AnnualReport/2020State/StateReport.aspx#?s=47" xr:uid="{4519EBA5-D36C-4825-BADB-C7638FCF30F4}"/>
    <hyperlink ref="B8:B36" r:id="rId4" location="?s=47" display="https://www.ic3.gov/Media/PDF/AnnualReport/2020State/StateReport.aspx#?s=47" xr:uid="{916AA1E9-B3E8-4B11-B281-C6775A633DDF}"/>
  </hyperlinks>
  <pageMargins left="0.7" right="0.7" top="0.75" bottom="0.75" header="0.3" footer="0.3"/>
  <pageSetup orientation="portrait"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9FFF0-5AD9-40C7-9DBA-8EC0E1531713}">
  <dimension ref="B4:P42"/>
  <sheetViews>
    <sheetView topLeftCell="A14" workbookViewId="0">
      <selection activeCell="E37" sqref="E37"/>
    </sheetView>
  </sheetViews>
  <sheetFormatPr defaultRowHeight="14.4" x14ac:dyDescent="0.3"/>
  <cols>
    <col min="2" max="2" width="70.109375" customWidth="1"/>
    <col min="3" max="3" width="27.5546875" customWidth="1"/>
    <col min="4" max="4" width="17.6640625" customWidth="1"/>
    <col min="5" max="5" width="12.2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s="12" t="s">
        <v>114</v>
      </c>
      <c r="C5" t="s">
        <v>105</v>
      </c>
      <c r="D5" t="s">
        <v>7</v>
      </c>
      <c r="E5" s="1">
        <v>39152927</v>
      </c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s="14" t="s">
        <v>58</v>
      </c>
      <c r="C6" t="s">
        <v>55</v>
      </c>
      <c r="D6" t="s">
        <v>7</v>
      </c>
      <c r="E6" s="13">
        <v>181163</v>
      </c>
      <c r="F6"/>
      <c r="G6"/>
      <c r="H6" s="5"/>
      <c r="I6" s="7"/>
      <c r="K6" s="8"/>
      <c r="L6" s="8"/>
      <c r="M6" s="8"/>
    </row>
    <row r="7" spans="2:16" s="2" customFormat="1" x14ac:dyDescent="0.3">
      <c r="B7" t="s">
        <v>112</v>
      </c>
      <c r="C7" t="s">
        <v>25</v>
      </c>
      <c r="D7" t="s">
        <v>21</v>
      </c>
      <c r="E7" s="1">
        <v>1434</v>
      </c>
      <c r="F7" s="3">
        <f>E7/$E$5</f>
        <v>3.6625614222916211E-5</v>
      </c>
      <c r="G7" s="1">
        <f>ROUNDDOWN(F7*$E$6,0)</f>
        <v>6</v>
      </c>
      <c r="H7" s="10">
        <v>16072685</v>
      </c>
      <c r="I7" s="7">
        <f>H7/E7</f>
        <v>11208.288005578801</v>
      </c>
      <c r="J7" s="7">
        <f>I7*G7</f>
        <v>67249.728033472813</v>
      </c>
      <c r="K7" s="1">
        <v>586</v>
      </c>
      <c r="L7" s="3">
        <f>K7/$E$5</f>
        <v>1.4966952534608715E-5</v>
      </c>
      <c r="M7" s="1">
        <f>ROUNDDOWN(L7*$E$6,0)</f>
        <v>2</v>
      </c>
      <c r="N7" s="10">
        <v>7486935</v>
      </c>
      <c r="O7" s="7">
        <f>N7/K7</f>
        <v>12776.339590443686</v>
      </c>
      <c r="P7" s="7">
        <f>M7*O7</f>
        <v>25552.679180887371</v>
      </c>
    </row>
    <row r="8" spans="2:16" s="2" customFormat="1" x14ac:dyDescent="0.3">
      <c r="B8" t="s">
        <v>112</v>
      </c>
      <c r="C8" t="s">
        <v>23</v>
      </c>
      <c r="D8" t="s">
        <v>21</v>
      </c>
      <c r="E8" s="1">
        <v>3017</v>
      </c>
      <c r="F8" s="3">
        <f>E8/$E$5</f>
        <v>7.7056818766065691E-5</v>
      </c>
      <c r="G8" s="1">
        <f>ROUNDDOWN(F8*$E$6,0)</f>
        <v>13</v>
      </c>
      <c r="H8" s="10">
        <v>403661227</v>
      </c>
      <c r="I8" s="7">
        <f>H8/E8</f>
        <v>133795.56745111037</v>
      </c>
      <c r="J8" s="7">
        <f>I8*G8</f>
        <v>1739342.3768644349</v>
      </c>
      <c r="K8" s="1">
        <v>519</v>
      </c>
      <c r="L8" s="3">
        <f>K8/$E$5</f>
        <v>1.3255713934235363E-5</v>
      </c>
      <c r="M8" s="1">
        <f>ROUNDDOWN(L8*$E$6,0)</f>
        <v>2</v>
      </c>
      <c r="N8" s="10">
        <v>56658307</v>
      </c>
      <c r="O8" s="7">
        <f>N8/K8</f>
        <v>109168.22157996146</v>
      </c>
      <c r="P8" s="7">
        <f>M8*O8</f>
        <v>218336.44315992293</v>
      </c>
    </row>
    <row r="9" spans="2:16" s="2" customFormat="1" x14ac:dyDescent="0.3">
      <c r="B9" t="s">
        <v>112</v>
      </c>
      <c r="C9" t="s">
        <v>26</v>
      </c>
      <c r="D9" t="s">
        <v>21</v>
      </c>
      <c r="E9" s="1"/>
      <c r="F9" s="3">
        <f>E9/$E$5</f>
        <v>0</v>
      </c>
      <c r="G9" s="1">
        <f>ROUNDDOWN(F9*$E$6,0)</f>
        <v>0</v>
      </c>
      <c r="H9" s="10"/>
      <c r="I9" s="7" t="e">
        <f>H9/E9</f>
        <v>#DIV/0!</v>
      </c>
      <c r="J9" s="7" t="e">
        <f>I9*G9</f>
        <v>#DIV/0!</v>
      </c>
      <c r="K9" s="1"/>
      <c r="L9" s="3">
        <f>K9/$E$5</f>
        <v>0</v>
      </c>
      <c r="M9" s="1">
        <f>ROUNDDOWN(L9*$E$6,0)</f>
        <v>0</v>
      </c>
      <c r="N9" s="10"/>
      <c r="O9" s="7" t="e">
        <f>N9/K9</f>
        <v>#DIV/0!</v>
      </c>
      <c r="P9" s="7" t="e">
        <f>M9*O9</f>
        <v>#DIV/0!</v>
      </c>
    </row>
    <row r="10" spans="2:16" s="2" customFormat="1" x14ac:dyDescent="0.3">
      <c r="B10" t="s">
        <v>112</v>
      </c>
      <c r="C10" t="s">
        <v>27</v>
      </c>
      <c r="D10" t="s">
        <v>21</v>
      </c>
      <c r="E10" s="1">
        <v>3023</v>
      </c>
      <c r="F10" s="3">
        <f>E10/$E$5</f>
        <v>7.7210064013860321E-5</v>
      </c>
      <c r="G10" s="1">
        <f>ROUNDDOWN(F10*$E$6,0)</f>
        <v>13</v>
      </c>
      <c r="H10" s="10">
        <v>183928230</v>
      </c>
      <c r="I10" s="7">
        <f>H10/E10</f>
        <v>60842.947403241815</v>
      </c>
      <c r="J10" s="7">
        <f>I10*G10</f>
        <v>790958.31624214363</v>
      </c>
      <c r="K10" s="1">
        <v>1378</v>
      </c>
      <c r="L10" s="3">
        <f>K10/$E$5</f>
        <v>3.5195325243499672E-5</v>
      </c>
      <c r="M10" s="1">
        <f>ROUNDDOWN(L10*$E$6,0)</f>
        <v>6</v>
      </c>
      <c r="N10" s="10">
        <v>93927669</v>
      </c>
      <c r="O10" s="7">
        <f>N10/K10</f>
        <v>68162.314223512338</v>
      </c>
      <c r="P10" s="7">
        <f>M10*O10</f>
        <v>408973.88534107403</v>
      </c>
    </row>
    <row r="11" spans="2:16" s="2" customFormat="1" x14ac:dyDescent="0.3">
      <c r="B11" t="s">
        <v>112</v>
      </c>
      <c r="C11" t="s">
        <v>115</v>
      </c>
      <c r="D11" t="s">
        <v>21</v>
      </c>
      <c r="E11" s="1">
        <v>2455</v>
      </c>
      <c r="F11" s="3">
        <f>E11/$E$5</f>
        <v>6.2702847222635482E-5</v>
      </c>
      <c r="G11" s="1">
        <f>ROUNDDOWN(F11*$E$6,0)</f>
        <v>11</v>
      </c>
      <c r="H11" s="10">
        <v>38545383</v>
      </c>
      <c r="I11" s="7">
        <f>H11/E11</f>
        <v>15700.76700610998</v>
      </c>
      <c r="J11" s="7">
        <f>I11*G11</f>
        <v>172708.43706720977</v>
      </c>
      <c r="K11" s="1"/>
      <c r="L11" s="3">
        <f>K11/$E$5</f>
        <v>0</v>
      </c>
      <c r="M11" s="1">
        <f>ROUNDDOWN(L11*$E$6,0)</f>
        <v>0</v>
      </c>
      <c r="N11" s="10">
        <v>19822357</v>
      </c>
      <c r="O11" s="7" t="e">
        <f>N11/K11</f>
        <v>#DIV/0!</v>
      </c>
      <c r="P11" s="7" t="e">
        <f>M11*O11</f>
        <v>#DIV/0!</v>
      </c>
    </row>
    <row r="12" spans="2:16" s="2" customFormat="1" x14ac:dyDescent="0.3">
      <c r="B12" t="s">
        <v>112</v>
      </c>
      <c r="C12" t="s">
        <v>4</v>
      </c>
      <c r="D12" t="s">
        <v>21</v>
      </c>
      <c r="E12" s="1">
        <v>262</v>
      </c>
      <c r="F12" s="3">
        <f>E12/$E$5</f>
        <v>6.6917091536987771E-6</v>
      </c>
      <c r="G12" s="1">
        <f>ROUNDDOWN(F12*$E$6,0)</f>
        <v>1</v>
      </c>
      <c r="H12" s="10">
        <v>6639</v>
      </c>
      <c r="I12" s="7">
        <f>H12/E12</f>
        <v>25.33969465648855</v>
      </c>
      <c r="J12" s="7">
        <f>I12*G12</f>
        <v>25.33969465648855</v>
      </c>
      <c r="K12" s="1">
        <v>55</v>
      </c>
      <c r="L12" s="3">
        <f>K12/$E$5</f>
        <v>1.4047481047840945E-6</v>
      </c>
      <c r="M12" s="1">
        <f>ROUNDDOWN(L12*$E$6,0)</f>
        <v>0</v>
      </c>
      <c r="N12" s="10">
        <v>120</v>
      </c>
      <c r="O12" s="7">
        <f>N12/K12</f>
        <v>2.1818181818181817</v>
      </c>
      <c r="P12" s="7">
        <f>M12*O12</f>
        <v>0</v>
      </c>
    </row>
    <row r="13" spans="2:16" s="2" customFormat="1" x14ac:dyDescent="0.3">
      <c r="B13" t="s">
        <v>112</v>
      </c>
      <c r="C13" t="s">
        <v>5</v>
      </c>
      <c r="D13" t="s">
        <v>21</v>
      </c>
      <c r="E13" s="1">
        <v>188</v>
      </c>
      <c r="F13" s="3">
        <f>E13/$E$5</f>
        <v>4.8016844308983595E-6</v>
      </c>
      <c r="G13" s="1">
        <f>ROUNDDOWN(F13*$E$6,0)</f>
        <v>0</v>
      </c>
      <c r="H13" s="10">
        <v>27521424</v>
      </c>
      <c r="I13" s="7">
        <f>H13/E13</f>
        <v>146390.55319148937</v>
      </c>
      <c r="J13" s="7">
        <f>I13*G13</f>
        <v>0</v>
      </c>
      <c r="K13" s="1">
        <v>58</v>
      </c>
      <c r="L13" s="3">
        <f>K13/$E$5</f>
        <v>1.4813707286814086E-6</v>
      </c>
      <c r="M13" s="1">
        <f>ROUNDDOWN(L13*$E$6,0)</f>
        <v>0</v>
      </c>
      <c r="N13" s="10">
        <v>1802512</v>
      </c>
      <c r="O13" s="7">
        <f>N13/K13</f>
        <v>31077.793103448275</v>
      </c>
      <c r="P13" s="7">
        <f>M13*O13</f>
        <v>0</v>
      </c>
    </row>
    <row r="14" spans="2:16" s="2" customFormat="1" x14ac:dyDescent="0.3">
      <c r="B14" t="s">
        <v>112</v>
      </c>
      <c r="C14" t="s">
        <v>29</v>
      </c>
      <c r="D14" t="s">
        <v>21</v>
      </c>
      <c r="E14" s="1">
        <v>1944</v>
      </c>
      <c r="F14" s="3">
        <f>E14/$E$5</f>
        <v>4.9651460285459632E-5</v>
      </c>
      <c r="G14" s="1">
        <f>ROUNDDOWN(F14*$E$6,0)</f>
        <v>8</v>
      </c>
      <c r="H14" s="10">
        <v>7769432</v>
      </c>
      <c r="I14" s="7">
        <f>H14/E14</f>
        <v>3996.6213991769546</v>
      </c>
      <c r="J14" s="7">
        <f>I14*G14</f>
        <v>31972.971193415637</v>
      </c>
      <c r="K14" s="1">
        <v>921</v>
      </c>
      <c r="L14" s="3">
        <f>K14/$E$5</f>
        <v>2.3523145536475471E-5</v>
      </c>
      <c r="M14" s="1">
        <f>ROUNDDOWN(L14*$E$6,0)</f>
        <v>4</v>
      </c>
      <c r="N14" s="10">
        <v>3832132</v>
      </c>
      <c r="O14" s="7">
        <f>N14/K14</f>
        <v>4160.8382193268189</v>
      </c>
      <c r="P14" s="7">
        <f>M14*O14</f>
        <v>16643.352877307276</v>
      </c>
    </row>
    <row r="15" spans="2:16" s="2" customFormat="1" x14ac:dyDescent="0.3">
      <c r="B15" t="s">
        <v>112</v>
      </c>
      <c r="C15" t="s">
        <v>8</v>
      </c>
      <c r="D15" t="s">
        <v>21</v>
      </c>
      <c r="E15" s="1">
        <v>5838</v>
      </c>
      <c r="F15" s="3">
        <f>E15/$E$5</f>
        <v>1.4910762610417352E-4</v>
      </c>
      <c r="G15" s="1">
        <f>ROUNDDOWN(F15*$E$6,0)</f>
        <v>27</v>
      </c>
      <c r="H15" s="10">
        <v>11613542</v>
      </c>
      <c r="I15" s="7">
        <f>H15/E15</f>
        <v>1989.3014731072285</v>
      </c>
      <c r="J15" s="7">
        <f>I15*G15</f>
        <v>53711.139773895171</v>
      </c>
      <c r="K15" s="1">
        <v>870</v>
      </c>
      <c r="L15" s="3">
        <f>K15/$E$5</f>
        <v>2.222056093022113E-5</v>
      </c>
      <c r="M15" s="1">
        <f>ROUNDDOWN(L15*$E$6,0)</f>
        <v>4</v>
      </c>
      <c r="N15" s="10">
        <v>4535685</v>
      </c>
      <c r="O15" s="7">
        <f>N15/K15</f>
        <v>5213.4310344827591</v>
      </c>
      <c r="P15" s="7">
        <f>M15*O15</f>
        <v>20853.724137931036</v>
      </c>
    </row>
    <row r="16" spans="2:16" s="2" customFormat="1" x14ac:dyDescent="0.3">
      <c r="B16" t="s">
        <v>112</v>
      </c>
      <c r="C16" t="s">
        <v>30</v>
      </c>
      <c r="D16" t="s">
        <v>21</v>
      </c>
      <c r="E16" s="1">
        <v>1347</v>
      </c>
      <c r="F16" s="3">
        <f>E16/$E$5</f>
        <v>3.4403558129894097E-5</v>
      </c>
      <c r="G16" s="1">
        <f>ROUNDDOWN(F16*$E$6,0)</f>
        <v>6</v>
      </c>
      <c r="H16" s="10">
        <v>29149623</v>
      </c>
      <c r="I16" s="7">
        <f>H16/E16</f>
        <v>21640.403118040089</v>
      </c>
      <c r="J16" s="7">
        <f>I16*G16</f>
        <v>129842.41870824053</v>
      </c>
      <c r="K16" s="1">
        <v>248</v>
      </c>
      <c r="L16" s="3">
        <f>K16/$E$5</f>
        <v>6.334136908844644E-6</v>
      </c>
      <c r="M16" s="1">
        <f>ROUNDDOWN(L16*$E$6,0)</f>
        <v>1</v>
      </c>
      <c r="N16" s="10"/>
      <c r="O16" s="7">
        <f>N16/K16</f>
        <v>0</v>
      </c>
      <c r="P16" s="7">
        <f>M16*O16</f>
        <v>0</v>
      </c>
    </row>
    <row r="17" spans="2:16" s="2" customFormat="1" x14ac:dyDescent="0.3">
      <c r="B17" t="s">
        <v>112</v>
      </c>
      <c r="C17" t="s">
        <v>31</v>
      </c>
      <c r="D17" t="s">
        <v>21</v>
      </c>
      <c r="E17" s="1"/>
      <c r="F17" s="3">
        <f>E17/$E$5</f>
        <v>0</v>
      </c>
      <c r="G17" s="1">
        <f>ROUNDDOWN(F17*$E$6,0)</f>
        <v>0</v>
      </c>
      <c r="H17" s="10"/>
      <c r="I17" s="7" t="e">
        <f>H17/E17</f>
        <v>#DIV/0!</v>
      </c>
      <c r="J17" s="7" t="e">
        <f>I17*G17</f>
        <v>#DIV/0!</v>
      </c>
      <c r="K17" s="1"/>
      <c r="L17" s="3">
        <f>K17/$E$5</f>
        <v>0</v>
      </c>
      <c r="M17" s="1">
        <f>ROUNDDOWN(L17*$E$6,0)</f>
        <v>0</v>
      </c>
      <c r="N17" s="11"/>
      <c r="O17" s="7" t="e">
        <f>N17/K17</f>
        <v>#DIV/0!</v>
      </c>
      <c r="P17" s="7" t="e">
        <f>M17*O17</f>
        <v>#DIV/0!</v>
      </c>
    </row>
    <row r="18" spans="2:16" s="2" customFormat="1" x14ac:dyDescent="0.3">
      <c r="B18" t="s">
        <v>112</v>
      </c>
      <c r="C18" t="s">
        <v>32</v>
      </c>
      <c r="D18" t="s">
        <v>21</v>
      </c>
      <c r="E18" s="1">
        <v>618</v>
      </c>
      <c r="F18" s="3">
        <f>E18/$E$5</f>
        <v>1.5784260522846734E-5</v>
      </c>
      <c r="G18" s="1">
        <f>ROUNDDOWN(F18*$E$6,0)</f>
        <v>2</v>
      </c>
      <c r="H18" s="10">
        <v>1675402</v>
      </c>
      <c r="I18" s="7">
        <f>H18/E18</f>
        <v>2711.0064724919093</v>
      </c>
      <c r="J18" s="7">
        <f>I18*G18</f>
        <v>5422.0129449838187</v>
      </c>
      <c r="K18" s="1">
        <v>254</v>
      </c>
      <c r="L18" s="3">
        <f>K18/$E$5</f>
        <v>6.4873821566392727E-6</v>
      </c>
      <c r="M18" s="1">
        <f>ROUNDDOWN(L18*$E$6,0)</f>
        <v>1</v>
      </c>
      <c r="N18" s="10">
        <v>1124517</v>
      </c>
      <c r="O18" s="7">
        <f>N18/K18</f>
        <v>4427.2322834645665</v>
      </c>
      <c r="P18" s="7">
        <f>M18*O18</f>
        <v>4427.2322834645665</v>
      </c>
    </row>
    <row r="19" spans="2:16" s="2" customFormat="1" x14ac:dyDescent="0.3">
      <c r="B19" t="s">
        <v>112</v>
      </c>
      <c r="C19" t="s">
        <v>33</v>
      </c>
      <c r="D19" t="s">
        <v>21</v>
      </c>
      <c r="E19" s="1">
        <v>3759</v>
      </c>
      <c r="F19" s="3">
        <f>E19/$E$5</f>
        <v>9.6008147743334744E-5</v>
      </c>
      <c r="G19" s="1">
        <f>ROUNDDOWN(F19*$E$6,0)</f>
        <v>17</v>
      </c>
      <c r="H19" s="10">
        <v>53179827</v>
      </c>
      <c r="I19" s="7">
        <f>H19/E19</f>
        <v>14147.333599361533</v>
      </c>
      <c r="J19" s="7">
        <f>I19*G19</f>
        <v>240504.67118914606</v>
      </c>
      <c r="K19" s="1">
        <v>1292</v>
      </c>
      <c r="L19" s="3">
        <f>K19/$E$5</f>
        <v>3.2998810025110001E-5</v>
      </c>
      <c r="M19" s="1">
        <f>ROUNDDOWN(L19*$E$6,0)</f>
        <v>5</v>
      </c>
      <c r="N19" s="10">
        <v>23891606</v>
      </c>
      <c r="O19" s="7">
        <f>N19/K19</f>
        <v>18491.955108359132</v>
      </c>
      <c r="P19" s="7">
        <f>M19*O19</f>
        <v>92459.775541795665</v>
      </c>
    </row>
    <row r="20" spans="2:16" s="2" customFormat="1" x14ac:dyDescent="0.3">
      <c r="B20" t="s">
        <v>112</v>
      </c>
      <c r="C20" t="s">
        <v>34</v>
      </c>
      <c r="D20" t="s">
        <v>21</v>
      </c>
      <c r="E20" s="1">
        <v>3153</v>
      </c>
      <c r="F20" s="3">
        <f>E20/$E$5</f>
        <v>8.0530377716077264E-5</v>
      </c>
      <c r="G20" s="1">
        <f>ROUNDDOWN(F20*$E$6,0)</f>
        <v>14</v>
      </c>
      <c r="H20" s="10">
        <v>292951498</v>
      </c>
      <c r="I20" s="7">
        <f>H20/E20</f>
        <v>92911.987947986039</v>
      </c>
      <c r="J20" s="7">
        <f>I20*G20</f>
        <v>1300767.8312718046</v>
      </c>
      <c r="K20" s="1">
        <v>1312</v>
      </c>
      <c r="L20" s="3">
        <f>K20/$E$5</f>
        <v>3.3509627517758764E-5</v>
      </c>
      <c r="M20" s="1">
        <f>ROUNDDOWN(L20*$E$6,0)</f>
        <v>6</v>
      </c>
      <c r="N20" s="10">
        <v>115015665</v>
      </c>
      <c r="O20" s="7">
        <f>N20/K20</f>
        <v>87664.378810975613</v>
      </c>
      <c r="P20" s="7">
        <f>M20*O20</f>
        <v>525986.27286585374</v>
      </c>
    </row>
    <row r="21" spans="2:16" s="2" customFormat="1" x14ac:dyDescent="0.3">
      <c r="B21" t="s">
        <v>112</v>
      </c>
      <c r="C21" t="s">
        <v>35</v>
      </c>
      <c r="D21" t="s">
        <v>21</v>
      </c>
      <c r="E21" s="1">
        <v>547</v>
      </c>
      <c r="F21" s="3">
        <f>E21/$E$5</f>
        <v>1.3970858423943629E-5</v>
      </c>
      <c r="G21" s="1">
        <f>ROUNDDOWN(F21*$E$6,0)</f>
        <v>2</v>
      </c>
      <c r="H21" s="10">
        <v>12612922</v>
      </c>
      <c r="I21" s="7">
        <f>H21/E21</f>
        <v>23058.358318098719</v>
      </c>
      <c r="J21" s="7">
        <f>I21*G21</f>
        <v>46116.716636197438</v>
      </c>
      <c r="K21" s="1">
        <v>184</v>
      </c>
      <c r="L21" s="3">
        <f>K21/$E$5</f>
        <v>4.6995209323686065E-6</v>
      </c>
      <c r="M21" s="1">
        <f>ROUNDDOWN(L21*$E$6,0)</f>
        <v>0</v>
      </c>
      <c r="N21" s="10">
        <v>6781074</v>
      </c>
      <c r="O21" s="7">
        <f>N21/K21</f>
        <v>36853.663043478264</v>
      </c>
      <c r="P21" s="7">
        <f>M21*O21</f>
        <v>0</v>
      </c>
    </row>
    <row r="22" spans="2:16" s="2" customFormat="1" x14ac:dyDescent="0.3">
      <c r="B22" t="s">
        <v>112</v>
      </c>
      <c r="C22" t="s">
        <v>9</v>
      </c>
      <c r="D22" t="s">
        <v>21</v>
      </c>
      <c r="E22" s="1">
        <v>118</v>
      </c>
      <c r="F22" s="3">
        <f>E22/$E$5</f>
        <v>3.0138232066276933E-6</v>
      </c>
      <c r="G22" s="1">
        <f>ROUNDDOWN(F22*$E$6,0)</f>
        <v>0</v>
      </c>
      <c r="H22" s="10">
        <v>528695</v>
      </c>
      <c r="I22" s="7">
        <f>H22/E22</f>
        <v>4480.4661016949149</v>
      </c>
      <c r="J22" s="7">
        <f>I22*G22</f>
        <v>0</v>
      </c>
      <c r="K22" s="1">
        <v>52</v>
      </c>
      <c r="L22" s="3">
        <f>K22/$E$5</f>
        <v>1.3281254808867801E-6</v>
      </c>
      <c r="M22" s="1">
        <f>ROUNDDOWN(L22*$E$6,0)</f>
        <v>0</v>
      </c>
      <c r="N22" s="10">
        <v>136679</v>
      </c>
      <c r="O22" s="7">
        <f>N22/K22</f>
        <v>2628.4423076923076</v>
      </c>
      <c r="P22" s="7">
        <f>M22*O22</f>
        <v>0</v>
      </c>
    </row>
    <row r="23" spans="2:16" s="2" customFormat="1" x14ac:dyDescent="0.3">
      <c r="B23" t="s">
        <v>112</v>
      </c>
      <c r="C23" t="s">
        <v>36</v>
      </c>
      <c r="D23" t="s">
        <v>21</v>
      </c>
      <c r="E23" s="1"/>
      <c r="F23" s="3">
        <f>E23/$E$5</f>
        <v>0</v>
      </c>
      <c r="G23" s="1">
        <f>ROUNDDOWN(F23*$E$6,0)</f>
        <v>0</v>
      </c>
      <c r="H23" s="10"/>
      <c r="I23" s="7" t="e">
        <f>H23/E23</f>
        <v>#DIV/0!</v>
      </c>
      <c r="J23" s="7" t="e">
        <f>I23*G23</f>
        <v>#DIV/0!</v>
      </c>
      <c r="K23" s="1"/>
      <c r="L23" s="3">
        <f>K23/$E$5</f>
        <v>0</v>
      </c>
      <c r="M23" s="1">
        <f>ROUNDDOWN(L23*$E$6,0)</f>
        <v>0</v>
      </c>
      <c r="N23" s="10"/>
      <c r="O23" s="7" t="e">
        <f>N23/K23</f>
        <v>#DIV/0!</v>
      </c>
      <c r="P23" s="7" t="e">
        <f>M23*O23</f>
        <v>#DIV/0!</v>
      </c>
    </row>
    <row r="24" spans="2:16" s="2" customFormat="1" x14ac:dyDescent="0.3">
      <c r="B24" t="s">
        <v>112</v>
      </c>
      <c r="C24" t="s">
        <v>37</v>
      </c>
      <c r="D24" t="s">
        <v>21</v>
      </c>
      <c r="E24" s="1"/>
      <c r="F24" s="3">
        <f>E24/$E$5</f>
        <v>0</v>
      </c>
      <c r="G24" s="1">
        <f>ROUNDDOWN(F24*$E$6,0)</f>
        <v>0</v>
      </c>
      <c r="H24" s="10"/>
      <c r="I24" s="7" t="e">
        <f>H24/E24</f>
        <v>#DIV/0!</v>
      </c>
      <c r="J24" s="7" t="e">
        <f>I24*G24</f>
        <v>#DIV/0!</v>
      </c>
      <c r="K24" s="1"/>
      <c r="L24" s="3">
        <f>K24/$E$5</f>
        <v>0</v>
      </c>
      <c r="M24" s="1">
        <f>ROUNDDOWN(L24*$E$6,0)</f>
        <v>0</v>
      </c>
      <c r="N24" s="10"/>
      <c r="O24" s="7" t="e">
        <f>N24/K24</f>
        <v>#DIV/0!</v>
      </c>
      <c r="P24" s="7" t="e">
        <f>M24*O24</f>
        <v>#DIV/0!</v>
      </c>
    </row>
    <row r="25" spans="2:16" s="2" customFormat="1" x14ac:dyDescent="0.3">
      <c r="B25" t="s">
        <v>112</v>
      </c>
      <c r="C25" t="s">
        <v>38</v>
      </c>
      <c r="D25" t="s">
        <v>21</v>
      </c>
      <c r="E25" s="1">
        <v>11004</v>
      </c>
      <c r="F25" s="3">
        <f>E25/$E$5</f>
        <v>2.8105178445534865E-4</v>
      </c>
      <c r="G25" s="1">
        <f>ROUNDDOWN(F25*$E$6,0)</f>
        <v>50</v>
      </c>
      <c r="H25" s="10">
        <v>601</v>
      </c>
      <c r="I25" s="7">
        <f>H25/E25</f>
        <v>5.461650308978553E-2</v>
      </c>
      <c r="J25" s="7">
        <f>I25*G25</f>
        <v>2.7308251544892763</v>
      </c>
      <c r="K25" s="1">
        <v>6394</v>
      </c>
      <c r="L25" s="3">
        <f>K25/$E$5</f>
        <v>1.633083523998091E-4</v>
      </c>
      <c r="M25" s="1">
        <f>ROUNDDOWN(L25*$E$6,0)</f>
        <v>29</v>
      </c>
      <c r="N25" s="10">
        <v>0</v>
      </c>
      <c r="O25" s="7">
        <f>N25/K25</f>
        <v>0</v>
      </c>
      <c r="P25" s="7">
        <f>M25*O25</f>
        <v>0</v>
      </c>
    </row>
    <row r="26" spans="2:16" s="2" customFormat="1" x14ac:dyDescent="0.3">
      <c r="B26" t="s">
        <v>112</v>
      </c>
      <c r="C26" t="s">
        <v>39</v>
      </c>
      <c r="D26" t="s">
        <v>21</v>
      </c>
      <c r="E26" s="1">
        <v>9942</v>
      </c>
      <c r="F26" s="3">
        <f>E26/$E$5</f>
        <v>2.5392737559569938E-4</v>
      </c>
      <c r="G26" s="1">
        <f>ROUNDDOWN(F26*$E$6,0)</f>
        <v>46</v>
      </c>
      <c r="H26" s="10">
        <v>51478257</v>
      </c>
      <c r="I26" s="7">
        <f>H26/E26</f>
        <v>5177.8572721786359</v>
      </c>
      <c r="J26" s="7">
        <f>I26*G26</f>
        <v>238181.43452021724</v>
      </c>
      <c r="K26" s="1">
        <v>5462</v>
      </c>
      <c r="L26" s="3">
        <f>K26/$E$5</f>
        <v>1.395042572423768E-4</v>
      </c>
      <c r="M26" s="1">
        <f>ROUNDDOWN(L26*$E$6,0)</f>
        <v>25</v>
      </c>
      <c r="N26" s="10">
        <v>33406518</v>
      </c>
      <c r="O26" s="7">
        <f>N26/K26</f>
        <v>6116.1695349688762</v>
      </c>
      <c r="P26" s="7">
        <f>M26*O26</f>
        <v>152904.2383742219</v>
      </c>
    </row>
    <row r="27" spans="2:16" s="2" customFormat="1" x14ac:dyDescent="0.3">
      <c r="B27" t="s">
        <v>112</v>
      </c>
      <c r="C27" t="s">
        <v>40</v>
      </c>
      <c r="D27" t="s">
        <v>21</v>
      </c>
      <c r="E27" s="1">
        <v>1538</v>
      </c>
      <c r="F27" s="3">
        <f>E27/$E$5</f>
        <v>3.9281865184689766E-5</v>
      </c>
      <c r="G27" s="1">
        <f>ROUNDDOWN(F27*$E$6,0)</f>
        <v>7</v>
      </c>
      <c r="H27" s="10">
        <v>6020695</v>
      </c>
      <c r="I27" s="7">
        <f>H27/E27</f>
        <v>3914.6261378413524</v>
      </c>
      <c r="J27" s="7">
        <f>I27*G27</f>
        <v>27402.382964889468</v>
      </c>
      <c r="K27" s="1">
        <v>1125</v>
      </c>
      <c r="L27" s="3">
        <f>K27/$E$5</f>
        <v>2.873348396149284E-5</v>
      </c>
      <c r="M27" s="1">
        <f>ROUNDDOWN(L27*$E$6,0)</f>
        <v>5</v>
      </c>
      <c r="N27" s="10">
        <v>4631542</v>
      </c>
      <c r="O27" s="7">
        <f>N27/K27</f>
        <v>4116.9262222222223</v>
      </c>
      <c r="P27" s="7">
        <f>M27*O27</f>
        <v>20584.631111111114</v>
      </c>
    </row>
    <row r="28" spans="2:16" s="2" customFormat="1" x14ac:dyDescent="0.3">
      <c r="B28" t="s">
        <v>112</v>
      </c>
      <c r="C28" t="s">
        <v>41</v>
      </c>
      <c r="D28" t="s">
        <v>21</v>
      </c>
      <c r="E28" s="1">
        <v>862</v>
      </c>
      <c r="F28" s="3">
        <f>E28/$E$5</f>
        <v>2.2016233933161627E-5</v>
      </c>
      <c r="G28" s="1">
        <f>ROUNDDOWN(F28*$E$6,0)</f>
        <v>3</v>
      </c>
      <c r="H28" s="10">
        <v>4889344</v>
      </c>
      <c r="I28" s="7">
        <f>H28/E28</f>
        <v>5672.092807424594</v>
      </c>
      <c r="J28" s="7">
        <f>I28*G28</f>
        <v>17016.278422273783</v>
      </c>
      <c r="K28" s="1"/>
      <c r="L28" s="3">
        <f>K28/$E$5</f>
        <v>0</v>
      </c>
      <c r="M28" s="1">
        <f>ROUNDDOWN(L28*$E$6,0)</f>
        <v>0</v>
      </c>
      <c r="N28" s="10">
        <v>2472096</v>
      </c>
      <c r="O28" s="7" t="e">
        <f>N28/K28</f>
        <v>#DIV/0!</v>
      </c>
      <c r="P28" s="7" t="e">
        <f>M28*O28</f>
        <v>#DIV/0!</v>
      </c>
    </row>
    <row r="29" spans="2:16" s="2" customFormat="1" x14ac:dyDescent="0.3">
      <c r="B29" t="s">
        <v>112</v>
      </c>
      <c r="C29" t="s">
        <v>10</v>
      </c>
      <c r="D29" t="s">
        <v>21</v>
      </c>
      <c r="E29" s="1">
        <v>7244</v>
      </c>
      <c r="F29" s="3">
        <f>E29/$E$5</f>
        <v>1.8501809583738144E-4</v>
      </c>
      <c r="G29" s="1">
        <f>ROUNDDOWN(F29*$E$6,0)</f>
        <v>33</v>
      </c>
      <c r="H29" s="10">
        <v>86298197</v>
      </c>
      <c r="I29" s="7">
        <f>H29/E29</f>
        <v>11913.058669243512</v>
      </c>
      <c r="J29" s="7">
        <f>I29*G29</f>
        <v>393130.93608503591</v>
      </c>
      <c r="K29" s="1">
        <v>2853</v>
      </c>
      <c r="L29" s="3">
        <f>K29/$E$5</f>
        <v>7.2868115326345839E-5</v>
      </c>
      <c r="M29" s="1">
        <f>ROUNDDOWN(L29*$E$6,0)</f>
        <v>13</v>
      </c>
      <c r="N29" s="10">
        <v>21961851</v>
      </c>
      <c r="O29" s="7">
        <f>N29/K29</f>
        <v>7697.8096740273395</v>
      </c>
      <c r="P29" s="7">
        <f>M29*O29</f>
        <v>100071.52576235542</v>
      </c>
    </row>
    <row r="30" spans="2:16" s="2" customFormat="1" x14ac:dyDescent="0.3">
      <c r="B30" t="s">
        <v>112</v>
      </c>
      <c r="C30" t="s">
        <v>11</v>
      </c>
      <c r="D30" t="s">
        <v>21</v>
      </c>
      <c r="E30" s="1">
        <v>2942</v>
      </c>
      <c r="F30" s="3">
        <f>E30/$E$5</f>
        <v>7.5141253168632831E-5</v>
      </c>
      <c r="G30" s="1">
        <f>ROUNDDOWN(F30*$E$6,0)</f>
        <v>13</v>
      </c>
      <c r="H30" s="10">
        <v>12884518</v>
      </c>
      <c r="I30" s="7">
        <f>H30/E30</f>
        <v>4379.5098572399729</v>
      </c>
      <c r="J30" s="7">
        <f>I30*G30</f>
        <v>56933.628144119648</v>
      </c>
      <c r="K30" s="1">
        <v>580</v>
      </c>
      <c r="L30" s="3">
        <f>K30/$E$5</f>
        <v>1.4813707286814086E-5</v>
      </c>
      <c r="M30" s="1">
        <f>ROUNDDOWN(L30*$E$6,0)</f>
        <v>2</v>
      </c>
      <c r="N30" s="10">
        <v>4483537</v>
      </c>
      <c r="O30" s="7">
        <f>N30/K30</f>
        <v>7730.2362068965522</v>
      </c>
      <c r="P30" s="7">
        <f>M30*O30</f>
        <v>15460.472413793104</v>
      </c>
    </row>
    <row r="31" spans="2:16" s="2" customFormat="1" x14ac:dyDescent="0.3">
      <c r="B31" t="s">
        <v>112</v>
      </c>
      <c r="C31" t="s">
        <v>12</v>
      </c>
      <c r="D31" t="s">
        <v>21</v>
      </c>
      <c r="E31" s="1">
        <v>441</v>
      </c>
      <c r="F31" s="3">
        <f>E31/$E$5</f>
        <v>1.1263525712905194E-5</v>
      </c>
      <c r="G31" s="1">
        <f>ROUNDDOWN(F31*$E$6,0)</f>
        <v>2</v>
      </c>
      <c r="H31" s="10">
        <v>6398442</v>
      </c>
      <c r="I31" s="7">
        <f>H31/E31</f>
        <v>14508.938775510203</v>
      </c>
      <c r="J31" s="7">
        <f>I31*G31</f>
        <v>29017.877551020407</v>
      </c>
      <c r="K31" s="1">
        <v>39</v>
      </c>
      <c r="L31" s="3">
        <f>K31/$E$5</f>
        <v>9.9609411066508508E-7</v>
      </c>
      <c r="M31" s="1">
        <f>ROUNDDOWN(L31*$E$6,0)</f>
        <v>0</v>
      </c>
      <c r="N31" s="10">
        <v>424623</v>
      </c>
      <c r="O31" s="7">
        <f>N31/K31</f>
        <v>10887.76923076923</v>
      </c>
      <c r="P31" s="7">
        <f>M31*O31</f>
        <v>0</v>
      </c>
    </row>
    <row r="32" spans="2:16" s="2" customFormat="1" x14ac:dyDescent="0.3">
      <c r="B32" t="s">
        <v>112</v>
      </c>
      <c r="C32" t="s">
        <v>42</v>
      </c>
      <c r="D32" t="s">
        <v>21</v>
      </c>
      <c r="E32" s="1">
        <v>2322</v>
      </c>
      <c r="F32" s="3">
        <f>E32/$E$5</f>
        <v>5.9305910896521225E-5</v>
      </c>
      <c r="G32" s="1">
        <f>ROUNDDOWN(F32*$E$6,0)</f>
        <v>10</v>
      </c>
      <c r="H32" s="10">
        <v>51648483</v>
      </c>
      <c r="I32" s="7">
        <f>H32/E32</f>
        <v>22243.102067183463</v>
      </c>
      <c r="J32" s="7">
        <f>I32*G32</f>
        <v>222431.02067183465</v>
      </c>
      <c r="K32" s="1">
        <v>936</v>
      </c>
      <c r="L32" s="3">
        <f>K32/$E$5</f>
        <v>2.3906258655962044E-5</v>
      </c>
      <c r="M32" s="1">
        <f>ROUNDDOWN(L32*$E$6,0)</f>
        <v>4</v>
      </c>
      <c r="N32" s="10">
        <v>33672648</v>
      </c>
      <c r="O32" s="7">
        <f>N32/K32</f>
        <v>35975.051282051281</v>
      </c>
      <c r="P32" s="7">
        <f>M32*O32</f>
        <v>143900.20512820513</v>
      </c>
    </row>
    <row r="33" spans="2:16" s="2" customFormat="1" x14ac:dyDescent="0.3">
      <c r="B33" t="s">
        <v>112</v>
      </c>
      <c r="C33" t="s">
        <v>43</v>
      </c>
      <c r="D33" t="s">
        <v>21</v>
      </c>
      <c r="E33" s="1"/>
      <c r="F33" s="3">
        <f>E33/$E$5</f>
        <v>0</v>
      </c>
      <c r="G33" s="1">
        <f>ROUNDDOWN(F33*$E$6,0)</f>
        <v>0</v>
      </c>
      <c r="H33" s="10"/>
      <c r="I33" s="7" t="e">
        <f>H33/E33</f>
        <v>#DIV/0!</v>
      </c>
      <c r="J33" s="7" t="e">
        <f>I33*G33</f>
        <v>#DIV/0!</v>
      </c>
      <c r="K33" s="1"/>
      <c r="L33" s="3">
        <f>K33/$E$5</f>
        <v>0</v>
      </c>
      <c r="M33" s="1">
        <f>ROUNDDOWN(L33*$E$6,0)</f>
        <v>0</v>
      </c>
      <c r="N33" s="10"/>
      <c r="O33" s="7" t="e">
        <f>N33/K33</f>
        <v>#DIV/0!</v>
      </c>
      <c r="P33" s="7" t="e">
        <f>M33*O33</f>
        <v>#DIV/0!</v>
      </c>
    </row>
    <row r="34" spans="2:16" s="2" customFormat="1" x14ac:dyDescent="0.3">
      <c r="B34" t="s">
        <v>112</v>
      </c>
      <c r="C34" t="s">
        <v>13</v>
      </c>
      <c r="D34" t="s">
        <v>21</v>
      </c>
      <c r="E34" s="1">
        <v>2419</v>
      </c>
      <c r="F34" s="3">
        <f>E34/$E$5</f>
        <v>6.1783375735867713E-5</v>
      </c>
      <c r="G34" s="1">
        <f>ROUNDDOWN(F34*$E$6,0)</f>
        <v>11</v>
      </c>
      <c r="H34" s="10">
        <v>15397564</v>
      </c>
      <c r="I34" s="7">
        <f>H34/E34</f>
        <v>6365.2600248036379</v>
      </c>
      <c r="J34" s="7">
        <f>I34*G34</f>
        <v>70017.860272840015</v>
      </c>
      <c r="K34" s="1">
        <v>642</v>
      </c>
      <c r="L34" s="3">
        <f>K34/$E$5</f>
        <v>1.6397241514025249E-5</v>
      </c>
      <c r="M34" s="1">
        <f>ROUNDDOWN(L34*$E$6,0)</f>
        <v>2</v>
      </c>
      <c r="N34" s="10"/>
      <c r="O34" s="7">
        <f>N34/K34</f>
        <v>0</v>
      </c>
      <c r="P34" s="7">
        <f>M34*O34</f>
        <v>0</v>
      </c>
    </row>
    <row r="35" spans="2:16" s="2" customFormat="1" x14ac:dyDescent="0.3">
      <c r="B35" t="s">
        <v>112</v>
      </c>
      <c r="C35" t="s">
        <v>44</v>
      </c>
      <c r="D35" t="s">
        <v>21</v>
      </c>
      <c r="E35" s="1">
        <v>3408</v>
      </c>
      <c r="F35" s="3">
        <f>E35/$E$5</f>
        <v>8.7043300747348981E-5</v>
      </c>
      <c r="G35" s="1">
        <f>ROUNDDOWN(F35*$E$6,0)</f>
        <v>15</v>
      </c>
      <c r="H35" s="10">
        <v>54843257</v>
      </c>
      <c r="I35" s="7">
        <f>H35/E35</f>
        <v>16092.50498826291</v>
      </c>
      <c r="J35" s="7">
        <f>I35*G35</f>
        <v>241387.57482394367</v>
      </c>
      <c r="K35" s="1">
        <v>1231</v>
      </c>
      <c r="L35" s="3">
        <f>K35/$E$5</f>
        <v>3.1440816672531274E-5</v>
      </c>
      <c r="M35" s="1">
        <f>ROUNDDOWN(L35*$E$6,0)</f>
        <v>5</v>
      </c>
      <c r="N35" s="10">
        <v>16112922</v>
      </c>
      <c r="O35" s="7">
        <f>N35/K35</f>
        <v>13089.294882209586</v>
      </c>
      <c r="P35" s="7">
        <f>M35*O35</f>
        <v>65446.47441104793</v>
      </c>
    </row>
    <row r="36" spans="2:16" s="2" customFormat="1" x14ac:dyDescent="0.3">
      <c r="B36" t="s">
        <v>112</v>
      </c>
      <c r="C36" t="s">
        <v>14</v>
      </c>
      <c r="D36" t="s">
        <v>21</v>
      </c>
      <c r="E36" s="1">
        <v>1913</v>
      </c>
      <c r="F36" s="3">
        <f>E36/$E$5</f>
        <v>4.885969317185405E-5</v>
      </c>
      <c r="G36" s="1">
        <f>ROUNDDOWN(F36*$E$6,0)</f>
        <v>8</v>
      </c>
      <c r="H36" s="10">
        <v>557421</v>
      </c>
      <c r="I36" s="7">
        <f>H36/E36</f>
        <v>291.385781495034</v>
      </c>
      <c r="J36" s="7">
        <f>I36*G36</f>
        <v>2331.086251960272</v>
      </c>
      <c r="K36" s="1">
        <v>965</v>
      </c>
      <c r="L36" s="3">
        <f>K36/$E$5</f>
        <v>2.4646944020302749E-5</v>
      </c>
      <c r="M36" s="1">
        <f>ROUNDDOWN(L36*$E$6,0)</f>
        <v>4</v>
      </c>
      <c r="N36" s="10">
        <v>326868</v>
      </c>
      <c r="O36" s="7">
        <f>N36/K36</f>
        <v>338.72331606217614</v>
      </c>
      <c r="P36" s="7">
        <f>M36*O36</f>
        <v>1354.8932642487046</v>
      </c>
    </row>
    <row r="37" spans="2:16" x14ac:dyDescent="0.3">
      <c r="J37" s="7">
        <f t="shared" ref="J8:J38" si="0">I37*G37</f>
        <v>0</v>
      </c>
      <c r="L37" s="3"/>
      <c r="M37" s="3"/>
      <c r="N37" s="10"/>
      <c r="O37" s="10"/>
    </row>
    <row r="38" spans="2:16" x14ac:dyDescent="0.3">
      <c r="E38" s="1">
        <f>SUM(E7:E36)</f>
        <v>71738</v>
      </c>
      <c r="G38">
        <f>SUM(G8:G36)</f>
        <v>312</v>
      </c>
      <c r="I38" s="7">
        <f t="shared" ref="I9:I38" si="1">H38/E38</f>
        <v>0</v>
      </c>
      <c r="J38" s="7">
        <f t="shared" si="0"/>
        <v>0</v>
      </c>
      <c r="L38" s="3"/>
      <c r="M38" s="3"/>
      <c r="N38" s="10"/>
      <c r="O38" s="10"/>
    </row>
    <row r="39" spans="2:16" x14ac:dyDescent="0.3">
      <c r="C39" t="s">
        <v>60</v>
      </c>
    </row>
    <row r="40" spans="2:16" x14ac:dyDescent="0.3">
      <c r="C40" t="s">
        <v>61</v>
      </c>
    </row>
    <row r="41" spans="2:16" x14ac:dyDescent="0.3">
      <c r="C41" t="s">
        <v>62</v>
      </c>
    </row>
    <row r="42" spans="2:16" x14ac:dyDescent="0.3">
      <c r="C42" t="s">
        <v>63</v>
      </c>
    </row>
  </sheetData>
  <phoneticPr fontId="1" type="noConversion"/>
  <hyperlinks>
    <hyperlink ref="B5" r:id="rId1" xr:uid="{9774C69A-8C53-437F-B1D2-343D3EC5ADF9}"/>
    <hyperlink ref="B6" r:id="rId2" xr:uid="{E343FAFD-CF7E-425B-BCFA-E5760F6BE683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6E138-99DE-49FB-81DF-2812B32A818A}">
  <dimension ref="A3:P21"/>
  <sheetViews>
    <sheetView workbookViewId="0">
      <selection activeCell="N5" sqref="N5:P11"/>
    </sheetView>
  </sheetViews>
  <sheetFormatPr defaultRowHeight="14.4" x14ac:dyDescent="0.3"/>
  <cols>
    <col min="2" max="2" width="5" bestFit="1" customWidth="1"/>
    <col min="3" max="3" width="13.44140625" bestFit="1" customWidth="1"/>
    <col min="5" max="5" width="6.5546875" bestFit="1" customWidth="1"/>
    <col min="6" max="6" width="11" bestFit="1" customWidth="1"/>
    <col min="7" max="7" width="18.6640625" bestFit="1" customWidth="1"/>
    <col min="8" max="8" width="8.21875" bestFit="1" customWidth="1"/>
    <col min="9" max="9" width="7.5546875" bestFit="1" customWidth="1"/>
    <col min="10" max="10" width="11.6640625" bestFit="1" customWidth="1"/>
    <col min="11" max="11" width="20.21875" bestFit="1" customWidth="1"/>
    <col min="12" max="12" width="8.5546875" bestFit="1" customWidth="1"/>
    <col min="13" max="13" width="33.88671875" bestFit="1" customWidth="1"/>
    <col min="14" max="14" width="13.88671875" bestFit="1" customWidth="1"/>
    <col min="15" max="15" width="12" bestFit="1" customWidth="1"/>
    <col min="16" max="16" width="4.21875" bestFit="1" customWidth="1"/>
  </cols>
  <sheetData>
    <row r="3" spans="1:16" x14ac:dyDescent="0.3">
      <c r="F3" s="17" t="s">
        <v>83</v>
      </c>
      <c r="G3" s="17"/>
      <c r="H3" s="17"/>
      <c r="I3" s="17"/>
      <c r="J3" s="17"/>
      <c r="K3" s="17" t="s">
        <v>85</v>
      </c>
      <c r="L3" s="17"/>
      <c r="M3" s="17"/>
      <c r="N3" s="17" t="s">
        <v>87</v>
      </c>
      <c r="O3" s="17"/>
      <c r="P3" s="17"/>
    </row>
    <row r="4" spans="1:16" x14ac:dyDescent="0.3">
      <c r="B4" t="s">
        <v>80</v>
      </c>
      <c r="C4" t="s">
        <v>81</v>
      </c>
      <c r="E4" t="s">
        <v>82</v>
      </c>
      <c r="F4" t="s">
        <v>84</v>
      </c>
      <c r="G4" t="s">
        <v>10</v>
      </c>
      <c r="H4" t="s">
        <v>9</v>
      </c>
      <c r="I4" t="s">
        <v>11</v>
      </c>
      <c r="J4" t="s">
        <v>12</v>
      </c>
      <c r="K4" t="s">
        <v>4</v>
      </c>
      <c r="L4" t="s">
        <v>8</v>
      </c>
      <c r="M4" t="s">
        <v>86</v>
      </c>
      <c r="N4" t="s">
        <v>32</v>
      </c>
      <c r="O4" t="s">
        <v>88</v>
      </c>
      <c r="P4" t="s">
        <v>89</v>
      </c>
    </row>
    <row r="5" spans="1:16" x14ac:dyDescent="0.3">
      <c r="B5">
        <v>2016</v>
      </c>
      <c r="C5" s="1">
        <f>'2016_IC3 State to City'!$E$6</f>
        <v>177746</v>
      </c>
      <c r="F5">
        <f>'2016_IC3 State to City'!$G$13</f>
        <v>2</v>
      </c>
      <c r="G5" s="1">
        <f>'2016_IC3 State to City'!$G$29</f>
        <v>18</v>
      </c>
      <c r="H5">
        <f>'2016_IC3 State to City'!$G$22</f>
        <v>1</v>
      </c>
      <c r="I5" s="1">
        <f>'2016_IC3 State to City'!$G$30</f>
        <v>9</v>
      </c>
      <c r="J5" s="1">
        <f>'2016_IC3 State to City'!$G$31</f>
        <v>1</v>
      </c>
      <c r="K5" s="1">
        <f>'2016_IC3 State to City'!$G$12</f>
        <v>0</v>
      </c>
      <c r="L5" s="1">
        <f>'2016_IC3 State to City'!$G$15</f>
        <v>10</v>
      </c>
      <c r="M5" s="1" t="e">
        <f>'2016_IC3 State to City'!$G$36</f>
        <v>#REF!</v>
      </c>
      <c r="N5" s="1">
        <f>'2016_IC3 State to City'!$G$18</f>
        <v>1</v>
      </c>
      <c r="O5" s="1">
        <f>'2016_IC3 State to City'!$G$19</f>
        <v>10</v>
      </c>
      <c r="P5" s="1">
        <f>'2016_IC3 State to City'!$G$8</f>
        <v>9</v>
      </c>
    </row>
    <row r="6" spans="1:16" x14ac:dyDescent="0.3">
      <c r="B6">
        <v>2017</v>
      </c>
      <c r="C6" s="1">
        <f>'2017_IC3 State to City'!$E$6</f>
        <v>179530</v>
      </c>
      <c r="D6" s="1">
        <f>C6-C5</f>
        <v>1784</v>
      </c>
      <c r="F6" s="1">
        <f>'2017_IC3 State to City'!$G$13</f>
        <v>2</v>
      </c>
      <c r="G6" s="1">
        <f>'2017_IC3 State to City'!$G$13</f>
        <v>2</v>
      </c>
      <c r="H6" s="1">
        <f>'2017_IC3 State to City'!$G$22</f>
        <v>1</v>
      </c>
      <c r="I6" s="1">
        <f>'2017_IC3 State to City'!$G$30</f>
        <v>14</v>
      </c>
      <c r="J6" s="1">
        <f>'2017_IC3 State to City'!$G$31</f>
        <v>1</v>
      </c>
      <c r="K6" s="1">
        <f>'2017_IC3 State to City'!$G$12</f>
        <v>0</v>
      </c>
      <c r="L6" s="1">
        <f>'2017_IC3 State to City'!$G$15</f>
        <v>9</v>
      </c>
      <c r="M6" s="1">
        <f>'2017_IC3 State to City'!$G$36</f>
        <v>11</v>
      </c>
      <c r="N6" s="1">
        <f>'2017_IC3 State to City'!$G$18</f>
        <v>1</v>
      </c>
      <c r="O6" s="1">
        <f>'2017_IC3 State to City'!$G$19</f>
        <v>11</v>
      </c>
      <c r="P6" s="1">
        <f>'2017_IC3 State to City'!$G$8</f>
        <v>11</v>
      </c>
    </row>
    <row r="7" spans="1:16" x14ac:dyDescent="0.3">
      <c r="B7">
        <v>2018</v>
      </c>
      <c r="C7" s="1">
        <f>'2018_IC3 State to City'!$E$6</f>
        <v>181918</v>
      </c>
      <c r="D7" s="1">
        <f t="shared" ref="D7:D11" si="0">C7-C6</f>
        <v>2388</v>
      </c>
      <c r="F7" s="1">
        <f>'2018_IC3 State to City'!$G$13</f>
        <v>1</v>
      </c>
      <c r="G7" s="1">
        <f>'2018_IC3 State to City'!$G$29</f>
        <v>36</v>
      </c>
      <c r="H7" s="1">
        <f>'2018_IC3 State to City'!$G$22</f>
        <v>1</v>
      </c>
      <c r="I7" s="1">
        <f>'2018_IC3 State to City'!$G$30</f>
        <v>12</v>
      </c>
      <c r="J7" s="1">
        <f>'2018_IC3 State to City'!$G$31</f>
        <v>0</v>
      </c>
      <c r="K7" s="1">
        <f>'2018_IC3 State to City'!$G$12</f>
        <v>0</v>
      </c>
      <c r="L7" s="1">
        <f>'2018_IC3 State to City'!$G$15</f>
        <v>37</v>
      </c>
      <c r="M7" s="1">
        <f>'2018_IC3 State to City'!$G$36</f>
        <v>12</v>
      </c>
      <c r="N7" s="1">
        <f>'2018_IC3 State to City'!$G$18</f>
        <v>1</v>
      </c>
      <c r="O7" s="1">
        <f>'2018_IC3 State to City'!$G$19</f>
        <v>9</v>
      </c>
      <c r="P7" s="1">
        <f>'2018_IC3 State to City'!$G$8</f>
        <v>13</v>
      </c>
    </row>
    <row r="8" spans="1:16" x14ac:dyDescent="0.3">
      <c r="B8">
        <v>2019</v>
      </c>
      <c r="C8" s="1">
        <f>'2019_IC3 State to City'!$E$6</f>
        <v>182799</v>
      </c>
      <c r="D8" s="1">
        <f t="shared" si="0"/>
        <v>881</v>
      </c>
      <c r="F8">
        <f>ROUNDDOWN(E8*D1,0)</f>
        <v>0</v>
      </c>
      <c r="G8" s="1">
        <f>'2019_IC3 State to City'!$G$29</f>
        <v>24</v>
      </c>
      <c r="H8" s="1">
        <f>'2019_IC3 State to City'!$G$22</f>
        <v>1</v>
      </c>
      <c r="I8" s="1">
        <f>'2019_IC3 State to City'!$G$30</f>
        <v>12</v>
      </c>
      <c r="J8" s="1">
        <f>'2019_IC3 State to City'!$G$31</f>
        <v>1</v>
      </c>
      <c r="K8" s="1">
        <f>'2019_IC3 State to City'!$G$12</f>
        <v>0</v>
      </c>
      <c r="L8" s="1">
        <f>'2019_IC3 State to City'!$G$15</f>
        <v>30</v>
      </c>
      <c r="M8" s="1">
        <f>'2019_IC3 State to City'!$G$36</f>
        <v>10</v>
      </c>
      <c r="N8" s="1">
        <f>'2019_IC3 State to City'!$G$18</f>
        <v>1</v>
      </c>
      <c r="O8" s="1">
        <f>'2019_IC3 State to City'!$G$19</f>
        <v>8</v>
      </c>
      <c r="P8" s="1">
        <f>'2019_IC3 State to City'!$G$8</f>
        <v>16</v>
      </c>
    </row>
    <row r="9" spans="1:16" x14ac:dyDescent="0.3">
      <c r="B9">
        <v>2020</v>
      </c>
      <c r="C9" s="1">
        <f>'2020_IC3 State to City'!$E$6</f>
        <v>181560</v>
      </c>
      <c r="D9" s="1">
        <f t="shared" si="0"/>
        <v>-1239</v>
      </c>
      <c r="F9" s="1">
        <f>'2020_IC3 State to City'!$G$13</f>
        <v>1</v>
      </c>
      <c r="G9" s="1">
        <f>'2020_IC3 State to City'!$G$29</f>
        <v>29</v>
      </c>
      <c r="H9" s="1">
        <f>'2020_IC3 State to City'!$G$22</f>
        <v>0</v>
      </c>
      <c r="I9" s="1">
        <f>'2020_IC3 State to City'!$G$30</f>
        <v>15</v>
      </c>
      <c r="J9" s="1">
        <f>'2020_IC3 State to City'!$G$31</f>
        <v>1</v>
      </c>
      <c r="K9" s="1">
        <f>'2020_IC3 State to City'!$G$12</f>
        <v>1</v>
      </c>
      <c r="L9" s="1">
        <f>'2020_IC3 State to City'!$G$15</f>
        <v>50</v>
      </c>
      <c r="M9" s="1">
        <f>'2020_IC3 State to City'!$G$36</f>
        <v>13</v>
      </c>
      <c r="N9" s="1">
        <f>'2020_IC3 State to City'!$G$18</f>
        <v>2</v>
      </c>
      <c r="O9" s="1">
        <f>'2020_IC3 State to City'!$G$19</f>
        <v>15</v>
      </c>
      <c r="P9" s="1">
        <f>'2020_IC3 State to City'!$G$8</f>
        <v>13</v>
      </c>
    </row>
    <row r="10" spans="1:16" x14ac:dyDescent="0.3">
      <c r="B10">
        <v>2021</v>
      </c>
      <c r="C10" s="1">
        <f>'2021_IC3 State to City'!$E$6</f>
        <v>181163</v>
      </c>
      <c r="D10" s="1">
        <f t="shared" si="0"/>
        <v>-397</v>
      </c>
      <c r="F10" s="1">
        <f>'2021_IC3 State to City'!$G$13</f>
        <v>0</v>
      </c>
      <c r="G10" s="1">
        <f>'2021_IC3 State to City'!$G$29</f>
        <v>33</v>
      </c>
      <c r="H10" s="1">
        <f>'2021_IC3 State to City'!$G$22</f>
        <v>0</v>
      </c>
      <c r="I10" s="1">
        <f>'2021_IC3 State to City'!$G$30</f>
        <v>13</v>
      </c>
      <c r="J10" s="1">
        <f>'2021_IC3 State to City'!$G$31</f>
        <v>2</v>
      </c>
      <c r="K10" s="1">
        <f>'2021_IC3 State to City'!$G$12</f>
        <v>1</v>
      </c>
      <c r="L10">
        <f>ROUNDDOWN(K10*J1,0)</f>
        <v>0</v>
      </c>
      <c r="M10" s="1">
        <f>'2021_IC3 State to City'!$G$36</f>
        <v>8</v>
      </c>
      <c r="N10" s="1">
        <f>'2021_IC3 State to City'!$G$18</f>
        <v>2</v>
      </c>
      <c r="O10" s="1">
        <f>'2021_IC3 State to City'!$G$19</f>
        <v>17</v>
      </c>
      <c r="P10" s="1">
        <f>'2021_IC3 State to City'!$G$8</f>
        <v>13</v>
      </c>
    </row>
    <row r="11" spans="1:16" x14ac:dyDescent="0.3">
      <c r="B11">
        <v>2022</v>
      </c>
      <c r="C11" s="1">
        <f>'2022_IC3 State to City'!$E$6</f>
        <v>184086</v>
      </c>
      <c r="D11" s="1">
        <f t="shared" si="0"/>
        <v>2923</v>
      </c>
      <c r="F11" s="1">
        <f>'2022_IC3 State to City'!$H$13</f>
        <v>1</v>
      </c>
      <c r="G11" s="1">
        <f>'2022_IC3 State to City'!$H$29</f>
        <v>38</v>
      </c>
      <c r="H11" s="1">
        <f>'2022_IC3 State to City'!$H$22</f>
        <v>0</v>
      </c>
      <c r="I11" s="1">
        <f>'2022_IC3 State to City'!$H$30</f>
        <v>9</v>
      </c>
      <c r="J11" s="1">
        <f>'2022_IC3 State to City'!$H$31</f>
        <v>1</v>
      </c>
      <c r="K11" s="1">
        <f>'2022_IC3 State to City'!$H$12</f>
        <v>1</v>
      </c>
      <c r="L11" s="1">
        <f>'2022_IC3 State to City'!$H$15</f>
        <v>22</v>
      </c>
      <c r="M11" s="1">
        <f>'2022_IC3 State to City'!$H$36</f>
        <v>1</v>
      </c>
      <c r="N11" s="1">
        <f>'2022_IC3 State to City'!$H$18</f>
        <v>1</v>
      </c>
      <c r="O11" s="1">
        <f>'2022_IC3 State to City'!$H$19</f>
        <v>13</v>
      </c>
      <c r="P11" s="1">
        <f>'2022_IC3 State to City'!$H$8</f>
        <v>15</v>
      </c>
    </row>
    <row r="14" spans="1:16" x14ac:dyDescent="0.3">
      <c r="A14" t="s">
        <v>94</v>
      </c>
      <c r="D14">
        <f>AVEDEV(C5:C11)</f>
        <v>1523.7959183673458</v>
      </c>
    </row>
    <row r="15" spans="1:16" x14ac:dyDescent="0.3">
      <c r="A15" t="s">
        <v>95</v>
      </c>
      <c r="D15" s="1">
        <f>C11+D14</f>
        <v>185609.79591836734</v>
      </c>
    </row>
    <row r="16" spans="1:16" x14ac:dyDescent="0.3">
      <c r="A16" t="s">
        <v>96</v>
      </c>
      <c r="D16">
        <f>ROUNDDOWN(C11+(D14*1.25),0)</f>
        <v>185990</v>
      </c>
    </row>
    <row r="17" spans="1:4" x14ac:dyDescent="0.3">
      <c r="A17" t="s">
        <v>97</v>
      </c>
      <c r="D17">
        <f>ROUNDDOWN(C11+(D14*0.75),0)</f>
        <v>185228</v>
      </c>
    </row>
    <row r="19" spans="1:4" x14ac:dyDescent="0.3">
      <c r="A19" t="s">
        <v>98</v>
      </c>
      <c r="D19">
        <f>2/6</f>
        <v>0.33333333333333331</v>
      </c>
    </row>
    <row r="21" spans="1:4" x14ac:dyDescent="0.3">
      <c r="D21" s="1">
        <f>MEDIAN(C5:C11)</f>
        <v>181560</v>
      </c>
    </row>
  </sheetData>
  <sortState xmlns:xlrd2="http://schemas.microsoft.com/office/spreadsheetml/2017/richdata2" ref="B5:C11">
    <sortCondition ref="B5:B11"/>
  </sortState>
  <mergeCells count="3">
    <mergeCell ref="F3:J3"/>
    <mergeCell ref="K3:M3"/>
    <mergeCell ref="N3:P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E9778-06B8-4619-B4BF-477C3D18F0B2}">
  <dimension ref="B4:Q38"/>
  <sheetViews>
    <sheetView tabSelected="1" workbookViewId="0">
      <selection activeCell="J7" sqref="J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16.88671875" customWidth="1"/>
    <col min="6" max="6" width="24.6640625" customWidth="1"/>
    <col min="7" max="7" width="48.88671875" customWidth="1"/>
    <col min="8" max="8" width="55.5546875" customWidth="1"/>
    <col min="9" max="9" width="41.88671875" style="5" customWidth="1"/>
    <col min="10" max="10" width="44" style="7" customWidth="1"/>
    <col min="11" max="11" width="56.21875" customWidth="1"/>
    <col min="12" max="12" width="34.21875" style="8" bestFit="1" customWidth="1"/>
    <col min="13" max="14" width="34.21875" style="8" customWidth="1"/>
    <col min="15" max="16" width="44.6640625" customWidth="1"/>
    <col min="17" max="17" width="37.77734375" bestFit="1" customWidth="1"/>
  </cols>
  <sheetData>
    <row r="4" spans="2:17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t="s">
        <v>20</v>
      </c>
      <c r="I4" s="5" t="s">
        <v>24</v>
      </c>
      <c r="J4" s="7" t="s">
        <v>45</v>
      </c>
      <c r="K4" t="s">
        <v>46</v>
      </c>
      <c r="L4" s="8" t="s">
        <v>48</v>
      </c>
      <c r="M4" s="8" t="s">
        <v>50</v>
      </c>
      <c r="N4" s="8" t="s">
        <v>51</v>
      </c>
      <c r="O4" t="s">
        <v>49</v>
      </c>
      <c r="P4" s="8" t="s">
        <v>53</v>
      </c>
      <c r="Q4" s="8" t="s">
        <v>52</v>
      </c>
    </row>
    <row r="5" spans="2:17" x14ac:dyDescent="0.3">
      <c r="B5" s="12" t="s">
        <v>114</v>
      </c>
      <c r="C5" t="s">
        <v>106</v>
      </c>
      <c r="D5" t="s">
        <v>7</v>
      </c>
      <c r="E5" s="1">
        <v>39125347</v>
      </c>
      <c r="F5" t="s">
        <v>15</v>
      </c>
      <c r="G5" t="s">
        <v>19</v>
      </c>
      <c r="H5" t="s">
        <v>99</v>
      </c>
      <c r="K5" t="s">
        <v>47</v>
      </c>
      <c r="Q5" t="s">
        <v>54</v>
      </c>
    </row>
    <row r="6" spans="2:17" s="2" customFormat="1" x14ac:dyDescent="0.3">
      <c r="B6" s="12" t="s">
        <v>18</v>
      </c>
      <c r="C6" t="s">
        <v>17</v>
      </c>
      <c r="D6" t="s">
        <v>7</v>
      </c>
      <c r="E6" s="1">
        <v>184086</v>
      </c>
      <c r="F6"/>
      <c r="G6"/>
      <c r="H6"/>
      <c r="I6" s="5"/>
      <c r="J6" s="7"/>
      <c r="L6" s="8"/>
      <c r="M6" s="8"/>
      <c r="N6" s="8"/>
    </row>
    <row r="7" spans="2:17" s="2" customFormat="1" x14ac:dyDescent="0.3">
      <c r="B7" t="s">
        <v>112</v>
      </c>
      <c r="C7" t="s">
        <v>25</v>
      </c>
      <c r="D7" t="s">
        <v>21</v>
      </c>
      <c r="E7" s="1">
        <v>1368</v>
      </c>
      <c r="F7" s="3">
        <f>E7/$E$5</f>
        <v>3.4964546129137206E-5</v>
      </c>
      <c r="G7" s="21">
        <f>F7*$E$6</f>
        <v>6.4364834387283514</v>
      </c>
      <c r="H7" s="1">
        <f>ROUNDDOWN(G7,0)</f>
        <v>6</v>
      </c>
      <c r="I7" s="10">
        <v>14557751</v>
      </c>
      <c r="J7" s="7">
        <f>I7/E7</f>
        <v>10641.630847953216</v>
      </c>
      <c r="K7" s="7">
        <f>J7*H7</f>
        <v>63849.785087719298</v>
      </c>
      <c r="L7" s="1">
        <v>618</v>
      </c>
      <c r="M7" s="3">
        <f>L7/$E$5</f>
        <v>1.579538706711023E-5</v>
      </c>
      <c r="N7" s="1">
        <f>ROUNDDOWN(M7*$E$6,0)</f>
        <v>2</v>
      </c>
      <c r="O7" s="10">
        <v>6790738</v>
      </c>
      <c r="P7" s="7">
        <f>O7/L7</f>
        <v>10988.249190938512</v>
      </c>
      <c r="Q7" s="7">
        <f>N7*P7</f>
        <v>21976.498381877023</v>
      </c>
    </row>
    <row r="8" spans="2:17" s="2" customFormat="1" x14ac:dyDescent="0.3">
      <c r="B8" t="s">
        <v>112</v>
      </c>
      <c r="C8" t="s">
        <v>23</v>
      </c>
      <c r="D8" t="s">
        <v>21</v>
      </c>
      <c r="E8" s="1">
        <v>3269</v>
      </c>
      <c r="F8" s="3">
        <f>E8/$E$5</f>
        <v>8.3551974631688249E-5</v>
      </c>
      <c r="G8" s="21">
        <f>F8*$E$6</f>
        <v>15.380748802048963</v>
      </c>
      <c r="H8" s="1">
        <f>ROUNDDOWN(G8,0)</f>
        <v>15</v>
      </c>
      <c r="I8" s="10">
        <v>439425357</v>
      </c>
      <c r="J8" s="7">
        <f>I8/E8</f>
        <v>134421.95074946468</v>
      </c>
      <c r="K8" s="7">
        <f>J8*H8</f>
        <v>2016329.2612419701</v>
      </c>
      <c r="L8" s="1">
        <v>616</v>
      </c>
      <c r="M8" s="3">
        <f>L8/$E$5</f>
        <v>1.5744269309611491E-5</v>
      </c>
      <c r="N8" s="1">
        <f>ROUNDDOWN(M8*$E$6,0)</f>
        <v>2</v>
      </c>
      <c r="O8" s="10">
        <v>96631599</v>
      </c>
      <c r="P8" s="7">
        <f>O8/L8</f>
        <v>156869.47889610389</v>
      </c>
      <c r="Q8" s="7">
        <f>N8*P8</f>
        <v>313738.95779220777</v>
      </c>
    </row>
    <row r="9" spans="2:17" s="2" customFormat="1" x14ac:dyDescent="0.3">
      <c r="B9" t="s">
        <v>112</v>
      </c>
      <c r="C9" t="s">
        <v>26</v>
      </c>
      <c r="D9" t="s">
        <v>21</v>
      </c>
      <c r="E9" s="1">
        <v>74</v>
      </c>
      <c r="F9" s="3">
        <f>E9/$E$5</f>
        <v>1.8913570274533283E-6</v>
      </c>
      <c r="G9" s="21">
        <f>F9*$E$6</f>
        <v>0.34817234975577338</v>
      </c>
      <c r="H9" s="1">
        <f>ROUNDDOWN(G9,0)</f>
        <v>0</v>
      </c>
      <c r="I9" s="10">
        <v>9207962</v>
      </c>
      <c r="J9" s="7">
        <f>I9/E9</f>
        <v>124431.91891891892</v>
      </c>
      <c r="K9" s="7">
        <f>J9*H9</f>
        <v>0</v>
      </c>
      <c r="L9" s="1">
        <v>15</v>
      </c>
      <c r="M9" s="3">
        <f>L9/$E$5</f>
        <v>3.8338318124053955E-7</v>
      </c>
      <c r="N9" s="1">
        <f>ROUNDDOWN(M9*$E$6,0)</f>
        <v>0</v>
      </c>
      <c r="O9" s="10">
        <v>103540</v>
      </c>
      <c r="P9" s="7">
        <f>O9/L9</f>
        <v>6902.666666666667</v>
      </c>
      <c r="Q9" s="7">
        <f>N9*P9</f>
        <v>0</v>
      </c>
    </row>
    <row r="10" spans="2:17" s="2" customFormat="1" x14ac:dyDescent="0.3">
      <c r="B10" t="s">
        <v>112</v>
      </c>
      <c r="C10" t="s">
        <v>27</v>
      </c>
      <c r="D10" t="s">
        <v>21</v>
      </c>
      <c r="E10" s="1">
        <v>2189</v>
      </c>
      <c r="F10" s="3">
        <f>E10/$E$5</f>
        <v>5.5948385582369405E-5</v>
      </c>
      <c r="G10" s="21">
        <f>F10*$E$6</f>
        <v>10.299314508316055</v>
      </c>
      <c r="H10" s="1">
        <f>ROUNDDOWN(G10,0)</f>
        <v>10</v>
      </c>
      <c r="I10" s="10">
        <v>158131770</v>
      </c>
      <c r="J10" s="7">
        <f>I10/E10</f>
        <v>72239.273640931933</v>
      </c>
      <c r="K10" s="7">
        <f>J10*H10</f>
        <v>722392.73640931933</v>
      </c>
      <c r="L10" s="1">
        <v>1109</v>
      </c>
      <c r="M10" s="3">
        <f>L10/$E$5</f>
        <v>2.8344796533050555E-5</v>
      </c>
      <c r="N10" s="1">
        <f>ROUNDDOWN(M10*$E$6,0)</f>
        <v>5</v>
      </c>
      <c r="O10" s="10">
        <v>79233267</v>
      </c>
      <c r="P10" s="7">
        <f>O10/L10</f>
        <v>71445.687105500445</v>
      </c>
      <c r="Q10" s="7">
        <f>N10*P10</f>
        <v>357228.43552750221</v>
      </c>
    </row>
    <row r="11" spans="2:17" s="2" customFormat="1" x14ac:dyDescent="0.3">
      <c r="B11" t="s">
        <v>112</v>
      </c>
      <c r="C11" t="s">
        <v>116</v>
      </c>
      <c r="D11" t="s">
        <v>21</v>
      </c>
      <c r="E11" s="1">
        <v>2933</v>
      </c>
      <c r="F11" s="3">
        <f>E11/$E$5</f>
        <v>7.4964191371900161E-5</v>
      </c>
      <c r="G11" s="21">
        <f>F11*$E$6</f>
        <v>13.799858132887612</v>
      </c>
      <c r="H11" s="1">
        <f>ROUNDDOWN(G11,0)</f>
        <v>13</v>
      </c>
      <c r="I11" s="11"/>
      <c r="J11" s="7">
        <f>I11/E11</f>
        <v>0</v>
      </c>
      <c r="K11" s="7">
        <f>J11*H11</f>
        <v>0</v>
      </c>
      <c r="L11" s="1">
        <v>1495</v>
      </c>
      <c r="M11" s="3">
        <f>L11/$E$5</f>
        <v>3.821052373030711E-5</v>
      </c>
      <c r="N11" s="1">
        <f>ROUNDDOWN(M11*$E$6,0)</f>
        <v>7</v>
      </c>
      <c r="O11" s="10">
        <v>19681014</v>
      </c>
      <c r="P11" s="7">
        <f>O11/L11</f>
        <v>13164.557859531773</v>
      </c>
      <c r="Q11" s="7">
        <f>N11*P11</f>
        <v>92151.905016722405</v>
      </c>
    </row>
    <row r="12" spans="2:17" s="2" customFormat="1" x14ac:dyDescent="0.3">
      <c r="B12" t="s">
        <v>112</v>
      </c>
      <c r="C12" t="s">
        <v>4</v>
      </c>
      <c r="D12" t="s">
        <v>21</v>
      </c>
      <c r="E12" s="1">
        <v>256</v>
      </c>
      <c r="F12" s="3">
        <f>E12/$E$5</f>
        <v>6.5430729598385414E-6</v>
      </c>
      <c r="G12" s="21">
        <f>F12*$E$6</f>
        <v>1.2044881288848377</v>
      </c>
      <c r="H12" s="1">
        <f>ROUNDDOWN(G12,0)</f>
        <v>1</v>
      </c>
      <c r="I12" s="10">
        <v>87258</v>
      </c>
      <c r="J12" s="7">
        <f>I12/E12</f>
        <v>340.8515625</v>
      </c>
      <c r="K12" s="7">
        <f>J12*H12</f>
        <v>340.8515625</v>
      </c>
      <c r="L12" s="1">
        <v>78</v>
      </c>
      <c r="M12" s="3">
        <f>L12/$E$5</f>
        <v>1.9935925424508054E-6</v>
      </c>
      <c r="N12" s="1">
        <f>ROUNDDOWN(M12*$E$6,0)</f>
        <v>0</v>
      </c>
      <c r="O12" s="10">
        <v>41012</v>
      </c>
      <c r="P12" s="7">
        <f>O12/L12</f>
        <v>525.79487179487182</v>
      </c>
      <c r="Q12" s="7">
        <f>N12*P12</f>
        <v>0</v>
      </c>
    </row>
    <row r="13" spans="2:17" s="2" customFormat="1" x14ac:dyDescent="0.3">
      <c r="B13" t="s">
        <v>112</v>
      </c>
      <c r="C13" t="s">
        <v>5</v>
      </c>
      <c r="D13" t="s">
        <v>21</v>
      </c>
      <c r="E13" s="1">
        <v>381</v>
      </c>
      <c r="F13" s="3">
        <f>E13/$E$5</f>
        <v>9.7379328035097038E-6</v>
      </c>
      <c r="G13" s="21">
        <f>F13*$E$6</f>
        <v>1.7926170980668874</v>
      </c>
      <c r="H13" s="1">
        <f>ROUNDDOWN(G13,0)</f>
        <v>1</v>
      </c>
      <c r="I13" s="10">
        <v>46132944</v>
      </c>
      <c r="J13" s="7">
        <f>I13/E13</f>
        <v>121083.84251968504</v>
      </c>
      <c r="K13" s="7">
        <f>J13*H13</f>
        <v>121083.84251968504</v>
      </c>
      <c r="L13" s="1">
        <v>131</v>
      </c>
      <c r="M13" s="3">
        <f>L13/$E$5</f>
        <v>3.3482131161673785E-6</v>
      </c>
      <c r="N13" s="1">
        <f>ROUNDDOWN(M13*$E$6,0)</f>
        <v>0</v>
      </c>
      <c r="O13" s="10">
        <v>16578414</v>
      </c>
      <c r="P13" s="7">
        <f>O13/L13</f>
        <v>126552.7786259542</v>
      </c>
      <c r="Q13" s="7">
        <f>N13*P13</f>
        <v>0</v>
      </c>
    </row>
    <row r="14" spans="2:17" s="2" customFormat="1" x14ac:dyDescent="0.3">
      <c r="B14" t="s">
        <v>112</v>
      </c>
      <c r="C14" t="s">
        <v>29</v>
      </c>
      <c r="D14" t="s">
        <v>21</v>
      </c>
      <c r="E14" s="1">
        <v>1879</v>
      </c>
      <c r="F14" s="3">
        <f>E14/$E$5</f>
        <v>4.8025133170064923E-5</v>
      </c>
      <c r="G14" s="21">
        <f>F14*$E$6</f>
        <v>8.8407546647445709</v>
      </c>
      <c r="H14" s="1">
        <f>ROUNDDOWN(G14,0)</f>
        <v>8</v>
      </c>
      <c r="I14" s="10">
        <v>6352139</v>
      </c>
      <c r="J14" s="7">
        <f>I14/E14</f>
        <v>3380.5955295369877</v>
      </c>
      <c r="K14" s="7">
        <f>J14*H14</f>
        <v>27044.764236295901</v>
      </c>
      <c r="L14" s="1">
        <v>931</v>
      </c>
      <c r="M14" s="3">
        <f>L14/$E$5</f>
        <v>2.3795316115662819E-5</v>
      </c>
      <c r="N14" s="1">
        <f>ROUNDDOWN(M14*$E$6,0)</f>
        <v>4</v>
      </c>
      <c r="O14" s="10">
        <v>4734064</v>
      </c>
      <c r="P14" s="7">
        <f>O14/L14</f>
        <v>5084.9237379162187</v>
      </c>
      <c r="Q14" s="7">
        <f>N14*P14</f>
        <v>20339.694951664875</v>
      </c>
    </row>
    <row r="15" spans="2:17" s="2" customFormat="1" x14ac:dyDescent="0.3">
      <c r="B15" t="s">
        <v>112</v>
      </c>
      <c r="C15" t="s">
        <v>8</v>
      </c>
      <c r="D15" t="s">
        <v>21</v>
      </c>
      <c r="E15" s="1">
        <v>4746</v>
      </c>
      <c r="F15" s="3">
        <f>E15/$E$5</f>
        <v>1.2130243854450671E-4</v>
      </c>
      <c r="G15" s="21">
        <f>F15*$E$6</f>
        <v>22.330080701904063</v>
      </c>
      <c r="H15" s="1">
        <f>ROUNDDOWN(G15,0)</f>
        <v>22</v>
      </c>
      <c r="I15" s="10">
        <v>11064375</v>
      </c>
      <c r="J15" s="7">
        <f>I15/E15</f>
        <v>2331.3053097345132</v>
      </c>
      <c r="K15" s="7">
        <f>J15*H15</f>
        <v>51288.716814159292</v>
      </c>
      <c r="L15" s="1">
        <v>943</v>
      </c>
      <c r="M15" s="3">
        <f>L15/$E$5</f>
        <v>2.4102022660655254E-5</v>
      </c>
      <c r="N15" s="1">
        <f>ROUNDDOWN(M15*$E$6,0)</f>
        <v>4</v>
      </c>
      <c r="O15" s="10">
        <v>1746260</v>
      </c>
      <c r="P15" s="7">
        <f>O15/L15</f>
        <v>1851.8133616118771</v>
      </c>
      <c r="Q15" s="7">
        <f>N15*P15</f>
        <v>7407.2534464475084</v>
      </c>
    </row>
    <row r="16" spans="2:17" s="2" customFormat="1" x14ac:dyDescent="0.3">
      <c r="B16" t="s">
        <v>112</v>
      </c>
      <c r="C16" t="s">
        <v>30</v>
      </c>
      <c r="D16" t="s">
        <v>21</v>
      </c>
      <c r="E16" s="1">
        <v>1285</v>
      </c>
      <c r="F16" s="3">
        <f>E16/$E$5</f>
        <v>3.2843159192939555E-5</v>
      </c>
      <c r="G16" s="21">
        <f>F16*$E$6</f>
        <v>6.0459658031914714</v>
      </c>
      <c r="H16" s="1">
        <f>ROUNDDOWN(G16,0)</f>
        <v>6</v>
      </c>
      <c r="I16" s="11">
        <v>32297210</v>
      </c>
      <c r="J16" s="7">
        <f>I16/E16</f>
        <v>25134.015564202335</v>
      </c>
      <c r="K16" s="7">
        <f>J16*H16</f>
        <v>150804.09338521402</v>
      </c>
      <c r="L16" s="1">
        <v>255</v>
      </c>
      <c r="M16" s="3">
        <f>L16/$E$5</f>
        <v>6.5175140810891718E-6</v>
      </c>
      <c r="N16" s="1">
        <f>ROUNDDOWN(M16*$E$6,0)</f>
        <v>1</v>
      </c>
      <c r="O16" s="10">
        <v>5168082</v>
      </c>
      <c r="P16" s="7">
        <f>O16/L16</f>
        <v>20266.988235294117</v>
      </c>
      <c r="Q16" s="7">
        <f>N16*P16</f>
        <v>20266.988235294117</v>
      </c>
    </row>
    <row r="17" spans="2:17" s="2" customFormat="1" x14ac:dyDescent="0.3">
      <c r="B17" t="s">
        <v>112</v>
      </c>
      <c r="C17" t="s">
        <v>117</v>
      </c>
      <c r="D17" t="s">
        <v>21</v>
      </c>
      <c r="E17" s="1">
        <v>1693</v>
      </c>
      <c r="F17" s="3">
        <f>E17/$E$5</f>
        <v>4.327118172268223E-5</v>
      </c>
      <c r="G17" s="21">
        <f>F17*$E$6</f>
        <v>7.9656187586016811</v>
      </c>
      <c r="H17" s="1">
        <f>ROUNDDOWN(G17,0)</f>
        <v>7</v>
      </c>
      <c r="I17" s="10">
        <v>1726392</v>
      </c>
      <c r="J17" s="7">
        <f>I17/E17</f>
        <v>1019.7235676314235</v>
      </c>
      <c r="K17" s="7">
        <f>J17*H17</f>
        <v>7138.0649734199651</v>
      </c>
      <c r="L17" s="1"/>
      <c r="M17" s="3">
        <f>L17/$E$5</f>
        <v>0</v>
      </c>
      <c r="N17" s="1">
        <f>ROUNDDOWN(M17*$E$6,0)</f>
        <v>0</v>
      </c>
      <c r="O17" s="11">
        <v>219659</v>
      </c>
      <c r="P17" s="7" t="e">
        <f>O17/L17</f>
        <v>#DIV/0!</v>
      </c>
      <c r="Q17" s="7" t="e">
        <f>N17*P17</f>
        <v>#DIV/0!</v>
      </c>
    </row>
    <row r="18" spans="2:17" s="2" customFormat="1" x14ac:dyDescent="0.3">
      <c r="B18" t="s">
        <v>112</v>
      </c>
      <c r="C18" t="s">
        <v>32</v>
      </c>
      <c r="D18" t="s">
        <v>21</v>
      </c>
      <c r="E18" s="1">
        <v>318</v>
      </c>
      <c r="F18" s="3">
        <f>E18/$E$5</f>
        <v>8.1277234422994391E-6</v>
      </c>
      <c r="G18" s="21">
        <f>F18*$E$6</f>
        <v>1.4962000975991345</v>
      </c>
      <c r="H18" s="1">
        <f>ROUNDDOWN(G18,0)</f>
        <v>1</v>
      </c>
      <c r="I18" s="10">
        <v>233333</v>
      </c>
      <c r="J18" s="7">
        <f>I18/E18</f>
        <v>733.75157232704407</v>
      </c>
      <c r="K18" s="7">
        <f>J18*H18</f>
        <v>733.75157232704407</v>
      </c>
      <c r="L18" s="1">
        <v>158</v>
      </c>
      <c r="M18" s="3">
        <f>L18/$E$5</f>
        <v>4.03830284240035E-6</v>
      </c>
      <c r="N18" s="1">
        <f>ROUNDDOWN(M18*$E$6,0)</f>
        <v>0</v>
      </c>
      <c r="O18" s="10">
        <v>108269</v>
      </c>
      <c r="P18" s="7">
        <f>O18/L18</f>
        <v>685.24683544303798</v>
      </c>
      <c r="Q18" s="7">
        <f>N18*P18</f>
        <v>0</v>
      </c>
    </row>
    <row r="19" spans="2:17" s="2" customFormat="1" x14ac:dyDescent="0.3">
      <c r="B19" t="s">
        <v>112</v>
      </c>
      <c r="C19" t="s">
        <v>33</v>
      </c>
      <c r="D19" t="s">
        <v>21</v>
      </c>
      <c r="E19" s="1">
        <v>2854</v>
      </c>
      <c r="F19" s="3">
        <f>E19/$E$5</f>
        <v>7.2945039950699989E-5</v>
      </c>
      <c r="G19" s="21">
        <f>F19*$E$6</f>
        <v>13.428160624364558</v>
      </c>
      <c r="H19" s="1">
        <f>ROUNDDOWN(G19,0)</f>
        <v>13</v>
      </c>
      <c r="I19" s="10">
        <v>27903539</v>
      </c>
      <c r="J19" s="7">
        <f>I19/E19</f>
        <v>9776.9933426769439</v>
      </c>
      <c r="K19" s="7">
        <f>J19*H19</f>
        <v>127100.91345480028</v>
      </c>
      <c r="L19" s="1">
        <v>1075</v>
      </c>
      <c r="M19" s="3">
        <f>L19/$E$5</f>
        <v>2.7475794655572001E-5</v>
      </c>
      <c r="N19" s="1">
        <f>ROUNDDOWN(M19*$E$6,0)</f>
        <v>5</v>
      </c>
      <c r="O19" s="10">
        <v>13936804</v>
      </c>
      <c r="P19" s="7">
        <f>O19/L19</f>
        <v>12964.468837209302</v>
      </c>
      <c r="Q19" s="7">
        <f>N19*P19</f>
        <v>64822.34418604651</v>
      </c>
    </row>
    <row r="20" spans="2:17" s="2" customFormat="1" x14ac:dyDescent="0.3">
      <c r="B20" t="s">
        <v>112</v>
      </c>
      <c r="C20" t="s">
        <v>34</v>
      </c>
      <c r="D20" t="s">
        <v>21</v>
      </c>
      <c r="E20" s="1">
        <v>4928</v>
      </c>
      <c r="F20" s="3">
        <f>E20/$E$5</f>
        <v>1.2595415447689192E-4</v>
      </c>
      <c r="G20" s="21">
        <f>F20*$E$6</f>
        <v>23.186396481033128</v>
      </c>
      <c r="H20" s="1">
        <f>ROUNDDOWN(G20,0)</f>
        <v>23</v>
      </c>
      <c r="I20" s="10">
        <v>869614022</v>
      </c>
      <c r="J20" s="7">
        <f>I20/E20</f>
        <v>176463.88433441558</v>
      </c>
      <c r="K20" s="7">
        <f>J20*H20</f>
        <v>4058669.3396915584</v>
      </c>
      <c r="L20" s="1">
        <v>2308</v>
      </c>
      <c r="M20" s="3">
        <f>L20/$E$5</f>
        <v>5.8989892153544353E-5</v>
      </c>
      <c r="N20" s="1">
        <f>ROUNDDOWN(M20*$E$6,0)</f>
        <v>10</v>
      </c>
      <c r="O20" s="10">
        <v>396181523</v>
      </c>
      <c r="P20" s="7">
        <f>O20/L20</f>
        <v>171655.7725303293</v>
      </c>
      <c r="Q20" s="7">
        <f>N20*P20</f>
        <v>1716557.725303293</v>
      </c>
    </row>
    <row r="21" spans="2:17" s="2" customFormat="1" x14ac:dyDescent="0.3">
      <c r="B21" t="s">
        <v>112</v>
      </c>
      <c r="C21" t="s">
        <v>35</v>
      </c>
      <c r="D21" t="s">
        <v>21</v>
      </c>
      <c r="E21" s="1">
        <v>453</v>
      </c>
      <c r="F21" s="3">
        <f>E21/$E$5</f>
        <v>1.1578172073464295E-5</v>
      </c>
      <c r="G21" s="21">
        <f>F21*$E$6</f>
        <v>2.131379384315748</v>
      </c>
      <c r="H21" s="1">
        <f>ROUNDDOWN(G21,0)</f>
        <v>2</v>
      </c>
      <c r="I21" s="10">
        <v>12243710</v>
      </c>
      <c r="J21" s="7">
        <f>I21/E21</f>
        <v>27028.057395143489</v>
      </c>
      <c r="K21" s="7">
        <f>J21*H21</f>
        <v>54056.114790286978</v>
      </c>
      <c r="L21" s="1">
        <v>201</v>
      </c>
      <c r="M21" s="3">
        <f>L21/$E$5</f>
        <v>5.1373346286232297E-6</v>
      </c>
      <c r="N21" s="1">
        <f>ROUNDDOWN(M21*$E$6,0)</f>
        <v>0</v>
      </c>
      <c r="O21" s="10">
        <v>6236377</v>
      </c>
      <c r="P21" s="7">
        <f>O21/L21</f>
        <v>31026.751243781095</v>
      </c>
      <c r="Q21" s="7">
        <f>N21*P21</f>
        <v>0</v>
      </c>
    </row>
    <row r="22" spans="2:17" s="2" customFormat="1" x14ac:dyDescent="0.3">
      <c r="B22" t="s">
        <v>112</v>
      </c>
      <c r="C22" t="s">
        <v>9</v>
      </c>
      <c r="D22" t="s">
        <v>21</v>
      </c>
      <c r="E22" s="1">
        <v>94</v>
      </c>
      <c r="F22" s="3">
        <f>E22/$E$5</f>
        <v>2.4025346024407144E-6</v>
      </c>
      <c r="G22" s="21">
        <f>F22*$E$6</f>
        <v>0.44227298482490135</v>
      </c>
      <c r="H22" s="1">
        <f>ROUNDDOWN(G22,0)</f>
        <v>0</v>
      </c>
      <c r="I22" s="10">
        <v>138325</v>
      </c>
      <c r="J22" s="7">
        <f>I22/E22</f>
        <v>1471.5425531914893</v>
      </c>
      <c r="K22" s="7">
        <f>J22*H22</f>
        <v>0</v>
      </c>
      <c r="L22" s="1">
        <v>25</v>
      </c>
      <c r="M22" s="3">
        <f>L22/$E$5</f>
        <v>6.3897196873423262E-7</v>
      </c>
      <c r="N22" s="1">
        <f>ROUNDDOWN(M22*$E$6,0)</f>
        <v>0</v>
      </c>
      <c r="O22" s="10">
        <v>178696</v>
      </c>
      <c r="P22" s="7">
        <f>O22/L22</f>
        <v>7147.84</v>
      </c>
      <c r="Q22" s="7">
        <f>N22*P22</f>
        <v>0</v>
      </c>
    </row>
    <row r="23" spans="2:17" s="2" customFormat="1" x14ac:dyDescent="0.3">
      <c r="B23" t="s">
        <v>112</v>
      </c>
      <c r="C23" t="s">
        <v>36</v>
      </c>
      <c r="D23" t="s">
        <v>21</v>
      </c>
      <c r="E23" s="1">
        <v>1</v>
      </c>
      <c r="F23" s="3">
        <f>E23/$E$5</f>
        <v>2.5558878749369302E-8</v>
      </c>
      <c r="G23" s="21">
        <f>F23*$E$6</f>
        <v>4.7050317534563972E-3</v>
      </c>
      <c r="H23" s="1">
        <f>ROUNDDOWN(G23,0)</f>
        <v>0</v>
      </c>
      <c r="I23" s="10">
        <v>0</v>
      </c>
      <c r="J23" s="7">
        <f>I23/E23</f>
        <v>0</v>
      </c>
      <c r="K23" s="7">
        <f>J23*H23</f>
        <v>0</v>
      </c>
      <c r="L23" s="1">
        <v>0</v>
      </c>
      <c r="M23" s="3">
        <f>L23/$E$5</f>
        <v>0</v>
      </c>
      <c r="N23" s="1">
        <f>ROUNDDOWN(M23*$E$6,0)</f>
        <v>0</v>
      </c>
      <c r="O23" s="10">
        <v>0</v>
      </c>
      <c r="P23" s="7" t="e">
        <f>O23/L23</f>
        <v>#DIV/0!</v>
      </c>
      <c r="Q23" s="7" t="e">
        <f>N23*P23</f>
        <v>#DIV/0!</v>
      </c>
    </row>
    <row r="24" spans="2:17" s="2" customFormat="1" x14ac:dyDescent="0.3">
      <c r="B24" t="s">
        <v>112</v>
      </c>
      <c r="C24" t="s">
        <v>37</v>
      </c>
      <c r="D24" t="s">
        <v>21</v>
      </c>
      <c r="E24" s="1">
        <v>0</v>
      </c>
      <c r="F24" s="3">
        <f>E24/$E$5</f>
        <v>0</v>
      </c>
      <c r="G24" s="21">
        <f>F24*$E$6</f>
        <v>0</v>
      </c>
      <c r="H24" s="1">
        <f>ROUNDDOWN(G24,0)</f>
        <v>0</v>
      </c>
      <c r="I24" s="10">
        <v>0</v>
      </c>
      <c r="J24" s="7" t="e">
        <f>I24/E24</f>
        <v>#DIV/0!</v>
      </c>
      <c r="K24" s="7" t="e">
        <f>J24*H24</f>
        <v>#DIV/0!</v>
      </c>
      <c r="L24" s="1">
        <v>0</v>
      </c>
      <c r="M24" s="3">
        <f>L24/$E$5</f>
        <v>0</v>
      </c>
      <c r="N24" s="1">
        <f>ROUNDDOWN(M24*$E$6,0)</f>
        <v>0</v>
      </c>
      <c r="O24" s="10">
        <v>0</v>
      </c>
      <c r="P24" s="7" t="e">
        <f>O24/L24</f>
        <v>#DIV/0!</v>
      </c>
      <c r="Q24" s="7" t="e">
        <f>N24*P24</f>
        <v>#DIV/0!</v>
      </c>
    </row>
    <row r="25" spans="2:17" s="2" customFormat="1" x14ac:dyDescent="0.3">
      <c r="B25" t="s">
        <v>112</v>
      </c>
      <c r="C25" t="s">
        <v>38</v>
      </c>
      <c r="D25" t="s">
        <v>21</v>
      </c>
      <c r="E25" s="1">
        <v>28232</v>
      </c>
      <c r="F25" s="3">
        <f>E25/$E$5</f>
        <v>7.2157826485219417E-4</v>
      </c>
      <c r="G25" s="21">
        <f>F25*$E$6</f>
        <v>132.83245646358102</v>
      </c>
      <c r="H25" s="1">
        <f>ROUNDDOWN(G25,0)</f>
        <v>132</v>
      </c>
      <c r="I25" s="10">
        <v>0</v>
      </c>
      <c r="J25" s="7">
        <f>I25/E25</f>
        <v>0</v>
      </c>
      <c r="K25" s="7">
        <f>J25*H25</f>
        <v>0</v>
      </c>
      <c r="L25" s="1">
        <v>23222</v>
      </c>
      <c r="M25" s="3">
        <f>L25/$E$5</f>
        <v>5.9352828231785395E-4</v>
      </c>
      <c r="N25" s="1">
        <f>ROUNDDOWN(M25*$E$6,0)</f>
        <v>109</v>
      </c>
      <c r="O25" s="10">
        <v>0</v>
      </c>
      <c r="P25" s="7">
        <f>O25/L25</f>
        <v>0</v>
      </c>
      <c r="Q25" s="7">
        <f>N25*P25</f>
        <v>0</v>
      </c>
    </row>
    <row r="26" spans="2:17" s="2" customFormat="1" x14ac:dyDescent="0.3">
      <c r="B26" t="s">
        <v>112</v>
      </c>
      <c r="C26" t="s">
        <v>39</v>
      </c>
      <c r="D26" t="s">
        <v>21</v>
      </c>
      <c r="E26" s="1">
        <v>6624</v>
      </c>
      <c r="F26" s="3">
        <f>E26/$E$5</f>
        <v>1.6930201283582225E-4</v>
      </c>
      <c r="G26" s="21">
        <f>F26*$E$6</f>
        <v>31.166130334895175</v>
      </c>
      <c r="H26" s="1">
        <f>ROUNDDOWN(G26,0)</f>
        <v>31</v>
      </c>
      <c r="I26" s="10">
        <v>41025991</v>
      </c>
      <c r="J26" s="7">
        <f>I26/E26</f>
        <v>6193.5372886473433</v>
      </c>
      <c r="K26" s="7">
        <f>J26*H26</f>
        <v>191999.65594806764</v>
      </c>
      <c r="L26" s="1">
        <v>3503</v>
      </c>
      <c r="M26" s="3">
        <f>L26/$E$5</f>
        <v>8.9532752259040673E-5</v>
      </c>
      <c r="N26" s="1">
        <f>ROUNDDOWN(M26*$E$6,0)</f>
        <v>16</v>
      </c>
      <c r="O26" s="10">
        <v>23858715</v>
      </c>
      <c r="P26" s="7">
        <f>O26/L26</f>
        <v>6810.9377676277472</v>
      </c>
      <c r="Q26" s="7">
        <f>N26*P26</f>
        <v>108975.00428204396</v>
      </c>
    </row>
    <row r="27" spans="2:17" s="2" customFormat="1" x14ac:dyDescent="0.3">
      <c r="B27" t="s">
        <v>112</v>
      </c>
      <c r="C27" t="s">
        <v>40</v>
      </c>
      <c r="D27" t="s">
        <v>21</v>
      </c>
      <c r="E27" s="1">
        <v>1173</v>
      </c>
      <c r="F27" s="3">
        <f>E27/$E$5</f>
        <v>2.9980564773010193E-5</v>
      </c>
      <c r="G27" s="21">
        <f>F27*$E$6</f>
        <v>5.5190022468043543</v>
      </c>
      <c r="H27" s="1">
        <f>ROUNDDOWN(G27,0)</f>
        <v>5</v>
      </c>
      <c r="I27" s="10">
        <v>18755779</v>
      </c>
      <c r="J27" s="7">
        <f>I27/E27</f>
        <v>15989.581415174765</v>
      </c>
      <c r="K27" s="7">
        <f>J27*H27</f>
        <v>79947.907075873823</v>
      </c>
      <c r="L27" s="1">
        <v>723</v>
      </c>
      <c r="M27" s="3">
        <f>L27/$E$5</f>
        <v>1.8479069335794007E-5</v>
      </c>
      <c r="N27" s="1">
        <f>ROUNDDOWN(M27*$E$6,0)</f>
        <v>3</v>
      </c>
      <c r="O27" s="10">
        <v>9906416</v>
      </c>
      <c r="P27" s="7">
        <f>O27/L27</f>
        <v>13701.820193637621</v>
      </c>
      <c r="Q27" s="7">
        <f>N27*P27</f>
        <v>41105.460580912862</v>
      </c>
    </row>
    <row r="28" spans="2:17" s="2" customFormat="1" x14ac:dyDescent="0.3">
      <c r="B28" t="s">
        <v>112</v>
      </c>
      <c r="C28" t="s">
        <v>41</v>
      </c>
      <c r="D28" t="s">
        <v>21</v>
      </c>
      <c r="E28" s="1">
        <v>807</v>
      </c>
      <c r="F28" s="3">
        <f>E28/$E$5</f>
        <v>2.0626015150741029E-5</v>
      </c>
      <c r="G28" s="21">
        <f>F28*$E$6</f>
        <v>3.7969606250393131</v>
      </c>
      <c r="H28" s="1">
        <f>ROUNDDOWN(G28,0)</f>
        <v>3</v>
      </c>
      <c r="I28" s="10">
        <v>4754892</v>
      </c>
      <c r="J28" s="7">
        <f>I28/E28</f>
        <v>5892.0594795539037</v>
      </c>
      <c r="K28" s="7">
        <f>J28*H28</f>
        <v>17676.178438661711</v>
      </c>
      <c r="L28" s="1">
        <v>344</v>
      </c>
      <c r="M28" s="3">
        <f>L28/$E$5</f>
        <v>8.7922542897830406E-6</v>
      </c>
      <c r="N28" s="1">
        <f>ROUNDDOWN(M28*$E$6,0)</f>
        <v>1</v>
      </c>
      <c r="O28" s="10">
        <v>1726660</v>
      </c>
      <c r="P28" s="7">
        <f>O28/L28</f>
        <v>5019.3604651162786</v>
      </c>
      <c r="Q28" s="7">
        <f>N28*P28</f>
        <v>5019.3604651162786</v>
      </c>
    </row>
    <row r="29" spans="2:17" s="2" customFormat="1" x14ac:dyDescent="0.3">
      <c r="B29" t="s">
        <v>112</v>
      </c>
      <c r="C29" t="s">
        <v>10</v>
      </c>
      <c r="D29" t="s">
        <v>21</v>
      </c>
      <c r="E29" s="1">
        <v>8196</v>
      </c>
      <c r="F29" s="3">
        <f>E29/$E$5</f>
        <v>2.0948057022983081E-4</v>
      </c>
      <c r="G29" s="21">
        <f>F29*$E$6</f>
        <v>38.562440251328631</v>
      </c>
      <c r="H29" s="1">
        <f>ROUNDDOWN(G29,0)</f>
        <v>38</v>
      </c>
      <c r="I29" s="10">
        <v>153022651</v>
      </c>
      <c r="J29" s="7">
        <f>I29/E29</f>
        <v>18670.406417764763</v>
      </c>
      <c r="K29" s="7">
        <f>J29*H29</f>
        <v>709475.443875061</v>
      </c>
      <c r="L29" s="1">
        <v>3238</v>
      </c>
      <c r="M29" s="3">
        <f>L29/$E$5</f>
        <v>8.2759649390457801E-5</v>
      </c>
      <c r="N29" s="1">
        <f>ROUNDDOWN(M29*$E$6,0)</f>
        <v>15</v>
      </c>
      <c r="O29" s="10">
        <v>35649051</v>
      </c>
      <c r="P29" s="7">
        <f>O29/L29</f>
        <v>11009.589561457689</v>
      </c>
      <c r="Q29" s="7">
        <f>N29*P29</f>
        <v>165143.84342186534</v>
      </c>
    </row>
    <row r="30" spans="2:17" s="2" customFormat="1" x14ac:dyDescent="0.3">
      <c r="B30" t="s">
        <v>112</v>
      </c>
      <c r="C30" t="s">
        <v>11</v>
      </c>
      <c r="D30" t="s">
        <v>21</v>
      </c>
      <c r="E30" s="1">
        <v>2041</v>
      </c>
      <c r="F30" s="3">
        <f>E30/$E$5</f>
        <v>5.2165671527462746E-5</v>
      </c>
      <c r="G30" s="21">
        <f>F30*$E$6</f>
        <v>9.6029698088045077</v>
      </c>
      <c r="H30" s="1">
        <f>ROUNDDOWN(G30,0)</f>
        <v>9</v>
      </c>
      <c r="I30" s="10">
        <v>14628440</v>
      </c>
      <c r="J30" s="7">
        <f>I30/E30</f>
        <v>7167.2905438510534</v>
      </c>
      <c r="K30" s="7">
        <f>J30*H30</f>
        <v>64505.614894659477</v>
      </c>
      <c r="L30" s="1">
        <v>552</v>
      </c>
      <c r="M30" s="3">
        <f>L30/$E$5</f>
        <v>1.4108501069651855E-5</v>
      </c>
      <c r="N30" s="1">
        <f>ROUNDDOWN(M30*$E$6,0)</f>
        <v>2</v>
      </c>
      <c r="O30" s="10">
        <v>1354479</v>
      </c>
      <c r="P30" s="7">
        <f>O30/L30</f>
        <v>2453.766304347826</v>
      </c>
      <c r="Q30" s="7">
        <f>N30*P30</f>
        <v>4907.532608695652</v>
      </c>
    </row>
    <row r="31" spans="2:17" s="2" customFormat="1" x14ac:dyDescent="0.3">
      <c r="B31" t="s">
        <v>112</v>
      </c>
      <c r="C31" t="s">
        <v>12</v>
      </c>
      <c r="D31" t="s">
        <v>21</v>
      </c>
      <c r="E31" s="1">
        <v>296</v>
      </c>
      <c r="F31" s="3">
        <f>E31/$E$5</f>
        <v>7.5654281098133132E-6</v>
      </c>
      <c r="G31" s="21">
        <f>F31*$E$6</f>
        <v>1.3926893990230935</v>
      </c>
      <c r="H31" s="1">
        <f>ROUNDDOWN(G31,0)</f>
        <v>1</v>
      </c>
      <c r="I31" s="10">
        <v>1945212</v>
      </c>
      <c r="J31" s="7">
        <f>I31/E31</f>
        <v>6571.6621621621625</v>
      </c>
      <c r="K31" s="7">
        <f>J31*H31</f>
        <v>6571.6621621621625</v>
      </c>
      <c r="L31" s="1">
        <v>19</v>
      </c>
      <c r="M31" s="3">
        <f>L31/$E$5</f>
        <v>4.856186962380168E-7</v>
      </c>
      <c r="N31" s="1">
        <f>ROUNDDOWN(M31*$E$6,0)</f>
        <v>0</v>
      </c>
      <c r="O31" s="10">
        <v>700000</v>
      </c>
      <c r="P31" s="7">
        <f>O31/L31</f>
        <v>36842.105263157893</v>
      </c>
      <c r="Q31" s="7">
        <f>N31*P31</f>
        <v>0</v>
      </c>
    </row>
    <row r="32" spans="2:17" s="2" customFormat="1" x14ac:dyDescent="0.3">
      <c r="B32" t="s">
        <v>112</v>
      </c>
      <c r="C32" t="s">
        <v>42</v>
      </c>
      <c r="D32" t="s">
        <v>21</v>
      </c>
      <c r="E32" s="1">
        <v>2126</v>
      </c>
      <c r="F32" s="3">
        <f>E32/$E$5</f>
        <v>5.4338176221159139E-5</v>
      </c>
      <c r="G32" s="21">
        <f>F32*$E$6</f>
        <v>10.002897507848301</v>
      </c>
      <c r="H32" s="1">
        <f>ROUNDDOWN(G32,0)</f>
        <v>10</v>
      </c>
      <c r="I32" s="10">
        <v>62209889</v>
      </c>
      <c r="J32" s="7">
        <f>I32/E32</f>
        <v>29261.47177798683</v>
      </c>
      <c r="K32" s="7">
        <f>J32*H32</f>
        <v>292614.71777986828</v>
      </c>
      <c r="L32" s="1"/>
      <c r="M32" s="3">
        <f>L32/$E$5</f>
        <v>0</v>
      </c>
      <c r="N32" s="1">
        <f>ROUNDDOWN(M32*$E$6,0)</f>
        <v>0</v>
      </c>
      <c r="O32" s="10">
        <v>17908856</v>
      </c>
      <c r="P32" s="7" t="e">
        <f>O32/L32</f>
        <v>#DIV/0!</v>
      </c>
      <c r="Q32" s="7" t="e">
        <f>N32*P32</f>
        <v>#DIV/0!</v>
      </c>
    </row>
    <row r="33" spans="2:17" s="2" customFormat="1" x14ac:dyDescent="0.3">
      <c r="B33" t="s">
        <v>112</v>
      </c>
      <c r="C33" t="s">
        <v>43</v>
      </c>
      <c r="D33" t="s">
        <v>21</v>
      </c>
      <c r="E33" s="1">
        <v>355</v>
      </c>
      <c r="F33" s="3">
        <f>E33/$E$5</f>
        <v>9.0734019560261023E-6</v>
      </c>
      <c r="G33" s="21">
        <f>F33*$E$6</f>
        <v>1.6702862724770211</v>
      </c>
      <c r="H33" s="1">
        <f>ROUNDDOWN(G33,0)</f>
        <v>1</v>
      </c>
      <c r="I33" s="10">
        <v>14258872</v>
      </c>
      <c r="J33" s="7">
        <f>I33/E33</f>
        <v>40165.836619718313</v>
      </c>
      <c r="K33" s="7">
        <f>J33*H33</f>
        <v>40165.836619718313</v>
      </c>
      <c r="L33" s="1">
        <v>97</v>
      </c>
      <c r="M33" s="3">
        <f>L33/$E$5</f>
        <v>2.4792112386888222E-6</v>
      </c>
      <c r="N33" s="1">
        <f>ROUNDDOWN(M33*$E$6,0)</f>
        <v>0</v>
      </c>
      <c r="O33" s="10">
        <v>2884955</v>
      </c>
      <c r="P33" s="7">
        <f>O33/L33</f>
        <v>29741.804123711339</v>
      </c>
      <c r="Q33" s="7">
        <f>N33*P33</f>
        <v>0</v>
      </c>
    </row>
    <row r="34" spans="2:17" s="2" customFormat="1" x14ac:dyDescent="0.3">
      <c r="B34" t="s">
        <v>112</v>
      </c>
      <c r="C34" t="s">
        <v>13</v>
      </c>
      <c r="D34" t="s">
        <v>21</v>
      </c>
      <c r="E34" s="1">
        <v>2615</v>
      </c>
      <c r="F34" s="3">
        <f>E34/$E$5</f>
        <v>6.6836467929600729E-5</v>
      </c>
      <c r="G34" s="21">
        <f>F34*$E$6</f>
        <v>12.30365803528848</v>
      </c>
      <c r="H34" s="1">
        <f>ROUNDDOWN(G34,0)</f>
        <v>12</v>
      </c>
      <c r="I34" s="10">
        <v>17907024</v>
      </c>
      <c r="J34" s="7">
        <f>I34/E34</f>
        <v>6847.8103250478016</v>
      </c>
      <c r="K34" s="7">
        <f>J34*H34</f>
        <v>82173.723900573619</v>
      </c>
      <c r="L34" s="1">
        <v>745</v>
      </c>
      <c r="M34" s="3">
        <f>L34/$E$5</f>
        <v>1.904136466828013E-5</v>
      </c>
      <c r="N34" s="1">
        <f>ROUNDDOWN(M34*$E$6,0)</f>
        <v>3</v>
      </c>
      <c r="O34" s="10">
        <v>4705608</v>
      </c>
      <c r="P34" s="7">
        <f>O34/L34</f>
        <v>6316.2523489932883</v>
      </c>
      <c r="Q34" s="7">
        <f>N34*P34</f>
        <v>18948.757046979867</v>
      </c>
    </row>
    <row r="35" spans="2:17" s="2" customFormat="1" x14ac:dyDescent="0.3">
      <c r="B35" t="s">
        <v>112</v>
      </c>
      <c r="C35" t="s">
        <v>44</v>
      </c>
      <c r="D35" t="s">
        <v>21</v>
      </c>
      <c r="E35" s="1">
        <v>4488</v>
      </c>
      <c r="F35" s="3">
        <f>E35/$E$5</f>
        <v>1.1470824782716943E-4</v>
      </c>
      <c r="G35" s="21">
        <f>F35*$E$6</f>
        <v>21.116182509512313</v>
      </c>
      <c r="H35" s="1">
        <f>ROUNDDOWN(G35,0)</f>
        <v>21</v>
      </c>
      <c r="I35" s="10">
        <v>128250735</v>
      </c>
      <c r="J35" s="7">
        <f>I35/E35</f>
        <v>28576.366978609625</v>
      </c>
      <c r="K35" s="7">
        <f>J35*H35</f>
        <v>600103.7065508021</v>
      </c>
      <c r="L35" s="1">
        <v>1633</v>
      </c>
      <c r="M35" s="3">
        <f>L35/$E$5</f>
        <v>4.1737648997720071E-5</v>
      </c>
      <c r="N35" s="1">
        <f>ROUNDDOWN(M35*$E$6,0)</f>
        <v>7</v>
      </c>
      <c r="O35" s="10">
        <v>74236808</v>
      </c>
      <c r="P35" s="7">
        <f>O35/L35</f>
        <v>45460.384568279238</v>
      </c>
      <c r="Q35" s="7">
        <f>N35*P35</f>
        <v>318222.69197795464</v>
      </c>
    </row>
    <row r="36" spans="2:17" s="2" customFormat="1" x14ac:dyDescent="0.3">
      <c r="B36" t="s">
        <v>112</v>
      </c>
      <c r="C36" t="s">
        <v>14</v>
      </c>
      <c r="D36" t="s">
        <v>21</v>
      </c>
      <c r="E36" s="1">
        <v>295</v>
      </c>
      <c r="F36" s="3">
        <f>E36/$E$5</f>
        <v>7.5398692310639445E-6</v>
      </c>
      <c r="G36" s="21">
        <f>F36*$E$6</f>
        <v>1.3879843672696373</v>
      </c>
      <c r="H36" s="1">
        <f>ROUNDDOWN(G36,0)</f>
        <v>1</v>
      </c>
      <c r="I36" s="10">
        <v>421261</v>
      </c>
      <c r="J36" s="7">
        <f>I36/E36</f>
        <v>1428.0033898305085</v>
      </c>
      <c r="K36" s="7">
        <f>J36*H36</f>
        <v>1428.0033898305085</v>
      </c>
      <c r="L36" s="1">
        <v>115</v>
      </c>
      <c r="M36" s="3">
        <f>L36/$E$5</f>
        <v>2.9392710561774699E-6</v>
      </c>
      <c r="N36" s="1">
        <f>ROUNDDOWN(M36*$E$6,0)</f>
        <v>0</v>
      </c>
      <c r="O36" s="10">
        <v>120904</v>
      </c>
      <c r="P36" s="7">
        <f>O36/L36</f>
        <v>1051.3391304347826</v>
      </c>
      <c r="Q36" s="7">
        <f>N36*P36</f>
        <v>0</v>
      </c>
    </row>
    <row r="37" spans="2:17" x14ac:dyDescent="0.3">
      <c r="G37">
        <f>F37*E6</f>
        <v>0</v>
      </c>
      <c r="K37" s="7">
        <f t="shared" ref="K37:K38" si="0">J37*H37</f>
        <v>0</v>
      </c>
      <c r="M37" s="3"/>
      <c r="N37" s="3"/>
      <c r="O37" s="10"/>
      <c r="P37" s="10"/>
    </row>
    <row r="38" spans="2:17" x14ac:dyDescent="0.3">
      <c r="E38" s="1">
        <f>SUM(E7:E36)</f>
        <v>85969</v>
      </c>
      <c r="G38">
        <f>SUM(G7:G36)</f>
        <v>404.48687481289301</v>
      </c>
      <c r="H38">
        <f>SUM(H8:H36)</f>
        <v>386</v>
      </c>
      <c r="I38" s="5" t="e">
        <f>SUM(#REF!)</f>
        <v>#REF!</v>
      </c>
      <c r="J38" s="7" t="e">
        <f t="shared" ref="J9:J38" si="1">I38/E38</f>
        <v>#REF!</v>
      </c>
      <c r="K38" s="7" t="e">
        <f t="shared" si="0"/>
        <v>#REF!</v>
      </c>
      <c r="M38" s="3"/>
      <c r="N38" s="3"/>
      <c r="O38" s="10"/>
      <c r="P38" s="10"/>
    </row>
  </sheetData>
  <phoneticPr fontId="1" type="noConversion"/>
  <hyperlinks>
    <hyperlink ref="B6" r:id="rId1" xr:uid="{096D36FE-BFDF-414F-8000-FDC41DF071EE}"/>
    <hyperlink ref="B5" r:id="rId2" xr:uid="{4E490273-3024-41E3-855B-9FFE55377FE7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DB16-6D08-4B17-961D-B4525930404F}">
  <dimension ref="B4:P38"/>
  <sheetViews>
    <sheetView topLeftCell="B4" workbookViewId="0">
      <selection activeCell="C10" sqref="C10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1" width="34.21875" style="8" bestFit="1" customWidth="1"/>
    <col min="12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t="s">
        <v>3</v>
      </c>
      <c r="C5" t="s">
        <v>56</v>
      </c>
      <c r="D5" t="s">
        <v>7</v>
      </c>
      <c r="E5" s="1"/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57</v>
      </c>
      <c r="D6" t="s">
        <v>7</v>
      </c>
      <c r="E6" s="1"/>
      <c r="F6"/>
      <c r="G6"/>
      <c r="H6" s="5"/>
      <c r="I6" s="7"/>
      <c r="K6" s="8"/>
      <c r="L6" s="8"/>
      <c r="M6" s="8"/>
    </row>
    <row r="7" spans="2:16" s="2" customFormat="1" x14ac:dyDescent="0.3">
      <c r="B7" t="s">
        <v>22</v>
      </c>
      <c r="C7" t="s">
        <v>25</v>
      </c>
      <c r="D7" t="s">
        <v>21</v>
      </c>
      <c r="E7" s="1"/>
      <c r="F7" s="3" t="e">
        <f>E7/E5</f>
        <v>#DIV/0!</v>
      </c>
      <c r="G7" t="e">
        <f>ROUNDDOWN(F7*E6,0)</f>
        <v>#DIV/0!</v>
      </c>
      <c r="H7" s="5"/>
      <c r="I7" s="7" t="e">
        <f>H7/E7</f>
        <v>#DIV/0!</v>
      </c>
      <c r="J7" s="7" t="e">
        <f>I7*G7</f>
        <v>#DIV/0!</v>
      </c>
      <c r="K7" s="8"/>
      <c r="L7" s="3" t="e">
        <f>K7/E5</f>
        <v>#DIV/0!</v>
      </c>
      <c r="M7" s="8" t="e">
        <f>ROUNDDOWN(L7*E6,0)</f>
        <v>#DIV/0!</v>
      </c>
      <c r="N7" s="10"/>
      <c r="O7" s="10" t="e">
        <f>N7/K7</f>
        <v>#DIV/0!</v>
      </c>
      <c r="P7" s="7" t="e">
        <f>M7*O7</f>
        <v>#DIV/0!</v>
      </c>
    </row>
    <row r="8" spans="2:16" s="2" customFormat="1" x14ac:dyDescent="0.3">
      <c r="B8" t="s">
        <v>22</v>
      </c>
      <c r="C8" t="s">
        <v>23</v>
      </c>
      <c r="D8" t="s">
        <v>21</v>
      </c>
      <c r="E8" s="1"/>
      <c r="F8" s="3" t="e">
        <f>E8/E5</f>
        <v>#DIV/0!</v>
      </c>
      <c r="G8" t="e">
        <f>ROUNDDOWN(F8*E6,0)</f>
        <v>#DIV/0!</v>
      </c>
      <c r="H8" s="5"/>
      <c r="I8" s="7" t="e">
        <f>H8/E8</f>
        <v>#DIV/0!</v>
      </c>
      <c r="J8" s="7" t="e">
        <f t="shared" ref="J8:J38" si="0">I8*G8</f>
        <v>#DIV/0!</v>
      </c>
      <c r="K8" s="8"/>
      <c r="L8" s="3" t="e">
        <f>K8/E5</f>
        <v>#DIV/0!</v>
      </c>
      <c r="M8" s="8" t="e">
        <f>ROUNDDOWN(L8*E6,0)</f>
        <v>#DIV/0!</v>
      </c>
      <c r="N8" s="10"/>
      <c r="O8" s="10" t="e">
        <f t="shared" ref="O8:O36" si="1">N8/K8</f>
        <v>#DIV/0!</v>
      </c>
      <c r="P8" s="7" t="e">
        <f t="shared" ref="P8:P36" si="2">M8*O8</f>
        <v>#DIV/0!</v>
      </c>
    </row>
    <row r="9" spans="2:16" s="2" customFormat="1" x14ac:dyDescent="0.3">
      <c r="B9" t="s">
        <v>22</v>
      </c>
      <c r="C9" t="s">
        <v>26</v>
      </c>
      <c r="D9" t="s">
        <v>21</v>
      </c>
      <c r="E9" s="1"/>
      <c r="F9" s="3" t="e">
        <f>E9/E5</f>
        <v>#DIV/0!</v>
      </c>
      <c r="G9" t="e">
        <f>ROUNDDOWN(F9*E6,0)</f>
        <v>#DIV/0!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 t="e">
        <f>K9/E5</f>
        <v>#DIV/0!</v>
      </c>
      <c r="M9" s="8" t="e">
        <f>ROUNDDOWN(L9*E6,0)</f>
        <v>#DIV/0!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t="s">
        <v>22</v>
      </c>
      <c r="C10" t="s">
        <v>27</v>
      </c>
      <c r="D10" t="s">
        <v>21</v>
      </c>
      <c r="E10" s="1"/>
      <c r="F10" s="3" t="e">
        <f>E10/E5</f>
        <v>#DIV/0!</v>
      </c>
      <c r="G10" t="e">
        <f>ROUNDDOWN(F10*E6,0)</f>
        <v>#DIV/0!</v>
      </c>
      <c r="H10" s="4"/>
      <c r="I10" s="7" t="e">
        <f t="shared" si="3"/>
        <v>#DIV/0!</v>
      </c>
      <c r="J10" s="7" t="e">
        <f t="shared" si="0"/>
        <v>#DIV/0!</v>
      </c>
      <c r="K10" s="8"/>
      <c r="L10" s="3" t="e">
        <f>K10/E5</f>
        <v>#DIV/0!</v>
      </c>
      <c r="M10" s="8" t="e">
        <f>ROUNDDOWN(L10*E6,0)</f>
        <v>#DIV/0!</v>
      </c>
      <c r="N10" s="10"/>
      <c r="O10" s="10" t="e">
        <f t="shared" si="1"/>
        <v>#DIV/0!</v>
      </c>
      <c r="P10" s="7" t="e">
        <f t="shared" si="2"/>
        <v>#DIV/0!</v>
      </c>
    </row>
    <row r="11" spans="2:16" s="2" customFormat="1" x14ac:dyDescent="0.3">
      <c r="B11" t="s">
        <v>22</v>
      </c>
      <c r="C11" t="s">
        <v>28</v>
      </c>
      <c r="D11" t="s">
        <v>21</v>
      </c>
      <c r="E11" s="1"/>
      <c r="F11" s="3" t="e">
        <f>E11/E5</f>
        <v>#DIV/0!</v>
      </c>
      <c r="G11" t="e">
        <f>ROUNDDOWN(F11*E6,0)</f>
        <v>#DIV/0!</v>
      </c>
      <c r="H11" s="6"/>
      <c r="I11" s="7" t="e">
        <f t="shared" si="3"/>
        <v>#DIV/0!</v>
      </c>
      <c r="J11" s="7" t="e">
        <f t="shared" si="0"/>
        <v>#DIV/0!</v>
      </c>
      <c r="K11" s="8"/>
      <c r="L11" s="3" t="e">
        <f>K11/E5</f>
        <v>#DIV/0!</v>
      </c>
      <c r="M11" s="8" t="e">
        <f>ROUNDDOWN(L11*E6,0)</f>
        <v>#DIV/0!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t="s">
        <v>22</v>
      </c>
      <c r="C12" t="s">
        <v>4</v>
      </c>
      <c r="D12" t="s">
        <v>21</v>
      </c>
      <c r="E12" s="1"/>
      <c r="F12" s="3" t="e">
        <f>E12/E5</f>
        <v>#DIV/0!</v>
      </c>
      <c r="G12" t="e">
        <f>ROUNDDOWN(F12*E6,0)</f>
        <v>#DIV/0!</v>
      </c>
      <c r="H12" s="5"/>
      <c r="I12" s="7" t="e">
        <f t="shared" si="3"/>
        <v>#DIV/0!</v>
      </c>
      <c r="J12" s="7" t="e">
        <f t="shared" si="0"/>
        <v>#DIV/0!</v>
      </c>
      <c r="K12" s="8"/>
      <c r="L12" s="3" t="e">
        <f>K12/E5</f>
        <v>#DIV/0!</v>
      </c>
      <c r="M12" s="8" t="e">
        <f>ROUNDDOWN(L12*E6,0)</f>
        <v>#DIV/0!</v>
      </c>
      <c r="N12" s="10"/>
      <c r="O12" s="10" t="e">
        <f t="shared" si="1"/>
        <v>#DIV/0!</v>
      </c>
      <c r="P12" s="7" t="e">
        <f t="shared" si="2"/>
        <v>#DIV/0!</v>
      </c>
    </row>
    <row r="13" spans="2:16" s="2" customFormat="1" x14ac:dyDescent="0.3">
      <c r="B13" t="s">
        <v>22</v>
      </c>
      <c r="C13" t="s">
        <v>5</v>
      </c>
      <c r="D13" t="s">
        <v>21</v>
      </c>
      <c r="E13" s="1"/>
      <c r="F13" s="3" t="e">
        <f>E13/E5</f>
        <v>#DIV/0!</v>
      </c>
      <c r="G13" t="e">
        <f>ROUNDDOWN(F13*E6,0)</f>
        <v>#DIV/0!</v>
      </c>
      <c r="H13" s="5"/>
      <c r="I13" s="7" t="e">
        <f t="shared" si="3"/>
        <v>#DIV/0!</v>
      </c>
      <c r="J13" s="7" t="e">
        <f t="shared" si="0"/>
        <v>#DIV/0!</v>
      </c>
      <c r="K13" s="8"/>
      <c r="L13" s="3" t="e">
        <f>K13/E5</f>
        <v>#DIV/0!</v>
      </c>
      <c r="M13" s="8" t="e">
        <f>ROUNDDOWN(L13*E6,0)</f>
        <v>#DIV/0!</v>
      </c>
      <c r="N13" s="10"/>
      <c r="O13" s="10" t="e">
        <f t="shared" si="1"/>
        <v>#DIV/0!</v>
      </c>
      <c r="P13" s="7" t="e">
        <f t="shared" si="2"/>
        <v>#DIV/0!</v>
      </c>
    </row>
    <row r="14" spans="2:16" s="2" customFormat="1" x14ac:dyDescent="0.3">
      <c r="B14" t="s">
        <v>22</v>
      </c>
      <c r="C14" t="s">
        <v>29</v>
      </c>
      <c r="D14" t="s">
        <v>21</v>
      </c>
      <c r="E14" s="1"/>
      <c r="F14" s="3" t="e">
        <f>E14/E5</f>
        <v>#DIV/0!</v>
      </c>
      <c r="G14" t="e">
        <f>ROUNDDOWN(F14*E6,0)</f>
        <v>#DIV/0!</v>
      </c>
      <c r="H14" s="4"/>
      <c r="I14" s="7" t="e">
        <f t="shared" si="3"/>
        <v>#DIV/0!</v>
      </c>
      <c r="J14" s="7" t="e">
        <f t="shared" si="0"/>
        <v>#DIV/0!</v>
      </c>
      <c r="K14" s="8"/>
      <c r="L14" s="3" t="e">
        <f>K14/E5</f>
        <v>#DIV/0!</v>
      </c>
      <c r="M14" s="8" t="e">
        <f>ROUNDDOWN(L14*E6,0)</f>
        <v>#DIV/0!</v>
      </c>
      <c r="N14" s="10"/>
      <c r="O14" s="10" t="e">
        <f t="shared" si="1"/>
        <v>#DIV/0!</v>
      </c>
      <c r="P14" s="7" t="e">
        <f t="shared" si="2"/>
        <v>#DIV/0!</v>
      </c>
    </row>
    <row r="15" spans="2:16" s="2" customFormat="1" x14ac:dyDescent="0.3">
      <c r="B15" t="s">
        <v>22</v>
      </c>
      <c r="C15" t="s">
        <v>8</v>
      </c>
      <c r="D15" t="s">
        <v>21</v>
      </c>
      <c r="E15" s="1"/>
      <c r="F15" s="3" t="e">
        <f>E15/E5</f>
        <v>#DIV/0!</v>
      </c>
      <c r="G15" t="e">
        <f>ROUNDDOWN(F15*E6,0)</f>
        <v>#DIV/0!</v>
      </c>
      <c r="H15" s="4"/>
      <c r="I15" s="7" t="e">
        <f t="shared" si="3"/>
        <v>#DIV/0!</v>
      </c>
      <c r="J15" s="7" t="e">
        <f t="shared" si="0"/>
        <v>#DIV/0!</v>
      </c>
      <c r="K15" s="8"/>
      <c r="L15" s="3" t="e">
        <f>K15/E5</f>
        <v>#DIV/0!</v>
      </c>
      <c r="M15" s="8" t="e">
        <f>ROUNDDOWN(L15*E6,0)</f>
        <v>#DIV/0!</v>
      </c>
      <c r="N15" s="10"/>
      <c r="O15" s="10" t="e">
        <f t="shared" si="1"/>
        <v>#DIV/0!</v>
      </c>
      <c r="P15" s="7" t="e">
        <f t="shared" si="2"/>
        <v>#DIV/0!</v>
      </c>
    </row>
    <row r="16" spans="2:16" s="2" customFormat="1" x14ac:dyDescent="0.3">
      <c r="B16" t="s">
        <v>22</v>
      </c>
      <c r="C16" t="s">
        <v>30</v>
      </c>
      <c r="D16" t="s">
        <v>21</v>
      </c>
      <c r="E16" s="1"/>
      <c r="F16" s="3" t="e">
        <f>E16/E5</f>
        <v>#DIV/0!</v>
      </c>
      <c r="G16" t="e">
        <f>ROUNDDOWN(F16*E6,0)</f>
        <v>#DIV/0!</v>
      </c>
      <c r="H16" s="4"/>
      <c r="I16" s="7" t="e">
        <f t="shared" si="3"/>
        <v>#DIV/0!</v>
      </c>
      <c r="J16" s="7" t="e">
        <f t="shared" si="0"/>
        <v>#DIV/0!</v>
      </c>
      <c r="K16" s="8"/>
      <c r="L16" s="3" t="e">
        <f>K16/E5</f>
        <v>#DIV/0!</v>
      </c>
      <c r="M16" s="8" t="e">
        <f>ROUNDDOWN(L16*E6,0)</f>
        <v>#DIV/0!</v>
      </c>
      <c r="N16" s="10"/>
      <c r="O16" s="10" t="e">
        <f t="shared" si="1"/>
        <v>#DIV/0!</v>
      </c>
      <c r="P16" s="7" t="e">
        <f t="shared" si="2"/>
        <v>#DIV/0!</v>
      </c>
    </row>
    <row r="17" spans="2:16" s="2" customFormat="1" x14ac:dyDescent="0.3">
      <c r="B17" t="s">
        <v>22</v>
      </c>
      <c r="C17" t="s">
        <v>31</v>
      </c>
      <c r="D17" t="s">
        <v>21</v>
      </c>
      <c r="E17" s="1"/>
      <c r="F17" s="3" t="e">
        <f>E17/E5</f>
        <v>#DIV/0!</v>
      </c>
      <c r="G17" t="e">
        <f>ROUNDDOWN(F17*E6,0)</f>
        <v>#DIV/0!</v>
      </c>
      <c r="H17" s="4"/>
      <c r="I17" s="7" t="e">
        <f t="shared" si="3"/>
        <v>#DIV/0!</v>
      </c>
      <c r="J17" s="7" t="e">
        <f t="shared" si="0"/>
        <v>#DIV/0!</v>
      </c>
      <c r="K17" s="8"/>
      <c r="L17" s="3" t="e">
        <f>K17/E5</f>
        <v>#DIV/0!</v>
      </c>
      <c r="M17" s="8" t="e">
        <f>ROUNDDOWN(L17*E6,0)</f>
        <v>#DIV/0!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t="s">
        <v>22</v>
      </c>
      <c r="C18" t="s">
        <v>32</v>
      </c>
      <c r="D18" t="s">
        <v>21</v>
      </c>
      <c r="E18" s="1"/>
      <c r="F18" s="3" t="e">
        <f>E18/E5</f>
        <v>#DIV/0!</v>
      </c>
      <c r="G18" t="e">
        <f>ROUNDDOWN(F18*E6,0)</f>
        <v>#DIV/0!</v>
      </c>
      <c r="H18" s="4"/>
      <c r="I18" s="7" t="e">
        <f t="shared" si="3"/>
        <v>#DIV/0!</v>
      </c>
      <c r="J18" s="7" t="e">
        <f t="shared" si="0"/>
        <v>#DIV/0!</v>
      </c>
      <c r="K18" s="8"/>
      <c r="L18" s="3" t="e">
        <f>K18/E5</f>
        <v>#DIV/0!</v>
      </c>
      <c r="M18" s="8" t="e">
        <f>ROUNDDOWN(L18*E6,0)</f>
        <v>#DIV/0!</v>
      </c>
      <c r="N18" s="10"/>
      <c r="O18" s="10" t="e">
        <f t="shared" si="1"/>
        <v>#DIV/0!</v>
      </c>
      <c r="P18" s="7" t="e">
        <f t="shared" si="2"/>
        <v>#DIV/0!</v>
      </c>
    </row>
    <row r="19" spans="2:16" s="2" customFormat="1" x14ac:dyDescent="0.3">
      <c r="B19" t="s">
        <v>22</v>
      </c>
      <c r="C19" t="s">
        <v>33</v>
      </c>
      <c r="D19" t="s">
        <v>21</v>
      </c>
      <c r="E19" s="1"/>
      <c r="F19" s="3" t="e">
        <f>E19/E5</f>
        <v>#DIV/0!</v>
      </c>
      <c r="G19" t="e">
        <f>ROUNDDOWN(F19*E6,0)</f>
        <v>#DIV/0!</v>
      </c>
      <c r="H19" s="4"/>
      <c r="I19" s="7" t="e">
        <f t="shared" si="3"/>
        <v>#DIV/0!</v>
      </c>
      <c r="J19" s="7" t="e">
        <f t="shared" si="0"/>
        <v>#DIV/0!</v>
      </c>
      <c r="K19" s="8"/>
      <c r="L19" s="3" t="e">
        <f>K19/E5</f>
        <v>#DIV/0!</v>
      </c>
      <c r="M19" s="8" t="e">
        <f>ROUNDDOWN(L19*E6,0)</f>
        <v>#DIV/0!</v>
      </c>
      <c r="N19" s="10"/>
      <c r="O19" s="10" t="e">
        <f t="shared" si="1"/>
        <v>#DIV/0!</v>
      </c>
      <c r="P19" s="7" t="e">
        <f t="shared" si="2"/>
        <v>#DIV/0!</v>
      </c>
    </row>
    <row r="20" spans="2:16" s="2" customFormat="1" x14ac:dyDescent="0.3">
      <c r="B20" t="s">
        <v>22</v>
      </c>
      <c r="C20" t="s">
        <v>34</v>
      </c>
      <c r="D20" t="s">
        <v>21</v>
      </c>
      <c r="E20" s="1"/>
      <c r="F20" s="3" t="e">
        <f>E20/E5</f>
        <v>#DIV/0!</v>
      </c>
      <c r="G20" t="e">
        <f>ROUNDDOWN(F20*E6,0)</f>
        <v>#DIV/0!</v>
      </c>
      <c r="H20" s="4"/>
      <c r="I20" s="7" t="e">
        <f t="shared" si="3"/>
        <v>#DIV/0!</v>
      </c>
      <c r="J20" s="7" t="e">
        <f t="shared" si="0"/>
        <v>#DIV/0!</v>
      </c>
      <c r="K20" s="8"/>
      <c r="L20" s="3" t="e">
        <f>K20/E5</f>
        <v>#DIV/0!</v>
      </c>
      <c r="M20" s="8" t="e">
        <f>ROUNDDOWN(L20*E6,0)</f>
        <v>#DIV/0!</v>
      </c>
      <c r="N20" s="10"/>
      <c r="O20" s="10" t="e">
        <f t="shared" si="1"/>
        <v>#DIV/0!</v>
      </c>
      <c r="P20" s="7" t="e">
        <f t="shared" si="2"/>
        <v>#DIV/0!</v>
      </c>
    </row>
    <row r="21" spans="2:16" s="2" customFormat="1" x14ac:dyDescent="0.3">
      <c r="B21" t="s">
        <v>22</v>
      </c>
      <c r="C21" t="s">
        <v>35</v>
      </c>
      <c r="D21" t="s">
        <v>21</v>
      </c>
      <c r="E21" s="1"/>
      <c r="F21" s="3" t="e">
        <f>E21/E5</f>
        <v>#DIV/0!</v>
      </c>
      <c r="G21" t="e">
        <f>ROUNDDOWN(F21*E6,0)</f>
        <v>#DIV/0!</v>
      </c>
      <c r="H21" s="4"/>
      <c r="I21" s="7" t="e">
        <f t="shared" si="3"/>
        <v>#DIV/0!</v>
      </c>
      <c r="J21" s="7" t="e">
        <f t="shared" si="0"/>
        <v>#DIV/0!</v>
      </c>
      <c r="K21" s="8"/>
      <c r="L21" s="3" t="e">
        <f>K21/E5</f>
        <v>#DIV/0!</v>
      </c>
      <c r="M21" s="8" t="e">
        <f>ROUNDDOWN(L21*E6,0)</f>
        <v>#DIV/0!</v>
      </c>
      <c r="N21" s="10"/>
      <c r="O21" s="10" t="e">
        <f t="shared" si="1"/>
        <v>#DIV/0!</v>
      </c>
      <c r="P21" s="7" t="e">
        <f t="shared" si="2"/>
        <v>#DIV/0!</v>
      </c>
    </row>
    <row r="22" spans="2:16" s="2" customFormat="1" x14ac:dyDescent="0.3">
      <c r="B22" t="s">
        <v>22</v>
      </c>
      <c r="C22" t="s">
        <v>9</v>
      </c>
      <c r="D22" t="s">
        <v>21</v>
      </c>
      <c r="E22" s="1"/>
      <c r="F22" s="3" t="e">
        <f>E22/E5</f>
        <v>#DIV/0!</v>
      </c>
      <c r="G22" t="e">
        <f>ROUNDDOWN(F22*E6,0)</f>
        <v>#DIV/0!</v>
      </c>
      <c r="H22" s="4"/>
      <c r="I22" s="7" t="e">
        <f t="shared" si="3"/>
        <v>#DIV/0!</v>
      </c>
      <c r="J22" s="7" t="e">
        <f t="shared" si="0"/>
        <v>#DIV/0!</v>
      </c>
      <c r="K22" s="8"/>
      <c r="L22" s="3" t="e">
        <f>K22/E5</f>
        <v>#DIV/0!</v>
      </c>
      <c r="M22" s="8" t="e">
        <f>ROUNDDOWN(L22*E6,0)</f>
        <v>#DIV/0!</v>
      </c>
      <c r="N22" s="10"/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t="s">
        <v>22</v>
      </c>
      <c r="C23" t="s">
        <v>36</v>
      </c>
      <c r="D23" t="s">
        <v>21</v>
      </c>
      <c r="E23" s="1"/>
      <c r="F23" s="3" t="e">
        <f>E23/E5</f>
        <v>#DIV/0!</v>
      </c>
      <c r="G23" t="e">
        <f>ROUNDDOWN(F23*E6,0)</f>
        <v>#DIV/0!</v>
      </c>
      <c r="H23" s="4"/>
      <c r="I23" s="7" t="e">
        <f t="shared" si="3"/>
        <v>#DIV/0!</v>
      </c>
      <c r="J23" s="7" t="e">
        <f t="shared" si="0"/>
        <v>#DIV/0!</v>
      </c>
      <c r="K23" s="8"/>
      <c r="L23" s="3" t="e">
        <f>K23/E5</f>
        <v>#DIV/0!</v>
      </c>
      <c r="M23" s="8" t="e">
        <f>ROUNDDOWN(L23*E6,0)</f>
        <v>#DIV/0!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t="s">
        <v>22</v>
      </c>
      <c r="C24" t="s">
        <v>37</v>
      </c>
      <c r="D24" t="s">
        <v>21</v>
      </c>
      <c r="E24" s="1"/>
      <c r="F24" s="3" t="e">
        <f>E24/E5</f>
        <v>#DIV/0!</v>
      </c>
      <c r="G24" t="e">
        <f>ROUNDDOWN(F24*E6,0)</f>
        <v>#DIV/0!</v>
      </c>
      <c r="H24" s="4"/>
      <c r="I24" s="7" t="e">
        <f t="shared" si="3"/>
        <v>#DIV/0!</v>
      </c>
      <c r="J24" s="7" t="e">
        <f t="shared" si="0"/>
        <v>#DIV/0!</v>
      </c>
      <c r="K24" s="8"/>
      <c r="L24" s="3" t="e">
        <f>K24/E5</f>
        <v>#DIV/0!</v>
      </c>
      <c r="M24" s="8" t="e">
        <f>ROUNDDOWN(L24*E6,0)</f>
        <v>#DIV/0!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t="s">
        <v>22</v>
      </c>
      <c r="C25" t="s">
        <v>38</v>
      </c>
      <c r="D25" t="s">
        <v>21</v>
      </c>
      <c r="E25" s="1"/>
      <c r="F25" s="3" t="e">
        <f>E25/E5</f>
        <v>#DIV/0!</v>
      </c>
      <c r="G25" t="e">
        <f>ROUNDDOWN(F25*E6,0)</f>
        <v>#DIV/0!</v>
      </c>
      <c r="H25" s="4"/>
      <c r="I25" s="7" t="e">
        <f t="shared" si="3"/>
        <v>#DIV/0!</v>
      </c>
      <c r="J25" s="7" t="e">
        <f t="shared" si="0"/>
        <v>#DIV/0!</v>
      </c>
      <c r="K25" s="8"/>
      <c r="L25" s="3" t="e">
        <f>K25/E5</f>
        <v>#DIV/0!</v>
      </c>
      <c r="M25" s="8" t="e">
        <f>ROUNDDOWN(L25*E6,0)</f>
        <v>#DIV/0!</v>
      </c>
      <c r="N25" s="10"/>
      <c r="O25" s="10" t="e">
        <f t="shared" si="1"/>
        <v>#DIV/0!</v>
      </c>
      <c r="P25" s="7" t="e">
        <f t="shared" si="2"/>
        <v>#DIV/0!</v>
      </c>
    </row>
    <row r="26" spans="2:16" s="2" customFormat="1" x14ac:dyDescent="0.3">
      <c r="B26" t="s">
        <v>22</v>
      </c>
      <c r="C26" t="s">
        <v>39</v>
      </c>
      <c r="D26" t="s">
        <v>21</v>
      </c>
      <c r="E26" s="1"/>
      <c r="F26" s="3" t="e">
        <f>E26/E5</f>
        <v>#DIV/0!</v>
      </c>
      <c r="G26" t="e">
        <f>ROUNDDOWN(F26*E6,0)</f>
        <v>#DIV/0!</v>
      </c>
      <c r="H26" s="4"/>
      <c r="I26" s="7" t="e">
        <f t="shared" si="3"/>
        <v>#DIV/0!</v>
      </c>
      <c r="J26" s="7" t="e">
        <f t="shared" si="0"/>
        <v>#DIV/0!</v>
      </c>
      <c r="K26" s="8"/>
      <c r="L26" s="3" t="e">
        <f>K26/E5</f>
        <v>#DIV/0!</v>
      </c>
      <c r="M26" s="8" t="e">
        <f>ROUNDDOWN(L26*E6,0)</f>
        <v>#DIV/0!</v>
      </c>
      <c r="N26" s="4"/>
      <c r="O26" s="10" t="e">
        <f t="shared" si="1"/>
        <v>#DIV/0!</v>
      </c>
      <c r="P26" s="7" t="e">
        <f t="shared" si="2"/>
        <v>#DIV/0!</v>
      </c>
    </row>
    <row r="27" spans="2:16" s="2" customFormat="1" x14ac:dyDescent="0.3">
      <c r="B27" t="s">
        <v>22</v>
      </c>
      <c r="C27" t="s">
        <v>40</v>
      </c>
      <c r="D27" t="s">
        <v>21</v>
      </c>
      <c r="E27" s="1"/>
      <c r="F27" s="3" t="e">
        <f>E27/E5</f>
        <v>#DIV/0!</v>
      </c>
      <c r="G27" t="e">
        <f>ROUNDDOWN(F27*E6,0)</f>
        <v>#DIV/0!</v>
      </c>
      <c r="H27" s="4"/>
      <c r="I27" s="7" t="e">
        <f t="shared" si="3"/>
        <v>#DIV/0!</v>
      </c>
      <c r="J27" s="7" t="e">
        <f t="shared" si="0"/>
        <v>#DIV/0!</v>
      </c>
      <c r="K27" s="8"/>
      <c r="L27" s="3" t="e">
        <f>K27/E5</f>
        <v>#DIV/0!</v>
      </c>
      <c r="M27" s="8" t="e">
        <f>ROUNDDOWN(L27*E6,0)</f>
        <v>#DIV/0!</v>
      </c>
      <c r="N27" s="4"/>
      <c r="O27" s="10" t="e">
        <f>N27/K27</f>
        <v>#DIV/0!</v>
      </c>
      <c r="P27" s="7" t="e">
        <f t="shared" si="2"/>
        <v>#DIV/0!</v>
      </c>
    </row>
    <row r="28" spans="2:16" s="2" customFormat="1" x14ac:dyDescent="0.3">
      <c r="B28" t="s">
        <v>22</v>
      </c>
      <c r="C28" t="s">
        <v>41</v>
      </c>
      <c r="D28" t="s">
        <v>21</v>
      </c>
      <c r="E28" s="1"/>
      <c r="F28" s="3" t="e">
        <f>E28/E5</f>
        <v>#DIV/0!</v>
      </c>
      <c r="G28" t="e">
        <f>ROUNDDOWN(F28*E6,0)</f>
        <v>#DIV/0!</v>
      </c>
      <c r="H28" s="4"/>
      <c r="I28" s="7" t="e">
        <f t="shared" si="3"/>
        <v>#DIV/0!</v>
      </c>
      <c r="J28" s="7" t="e">
        <f>I28*G28</f>
        <v>#DIV/0!</v>
      </c>
      <c r="K28" s="8"/>
      <c r="L28" s="3" t="e">
        <f>K28/E5</f>
        <v>#DIV/0!</v>
      </c>
      <c r="M28" s="8" t="e">
        <f>ROUNDDOWN(L28*E6,0)</f>
        <v>#DIV/0!</v>
      </c>
      <c r="N28" s="4"/>
      <c r="O28" s="10" t="e">
        <f t="shared" si="1"/>
        <v>#DIV/0!</v>
      </c>
      <c r="P28" s="7" t="e">
        <f>M28*O28</f>
        <v>#DIV/0!</v>
      </c>
    </row>
    <row r="29" spans="2:16" s="2" customFormat="1" x14ac:dyDescent="0.3">
      <c r="B29" t="s">
        <v>22</v>
      </c>
      <c r="C29" t="s">
        <v>10</v>
      </c>
      <c r="D29" t="s">
        <v>21</v>
      </c>
      <c r="E29" s="1"/>
      <c r="F29" s="3" t="e">
        <f>E29/E5</f>
        <v>#DIV/0!</v>
      </c>
      <c r="G29" t="e">
        <f>ROUNDDOWN(F29*E6,0)</f>
        <v>#DIV/0!</v>
      </c>
      <c r="H29" s="4"/>
      <c r="I29" s="7" t="e">
        <f t="shared" si="3"/>
        <v>#DIV/0!</v>
      </c>
      <c r="J29" s="7" t="e">
        <f t="shared" si="0"/>
        <v>#DIV/0!</v>
      </c>
      <c r="K29" s="8"/>
      <c r="L29" s="3" t="e">
        <f>K29/E5</f>
        <v>#DIV/0!</v>
      </c>
      <c r="M29" s="8" t="e">
        <f>ROUNDDOWN(L29*E6,0)</f>
        <v>#DIV/0!</v>
      </c>
      <c r="N29" s="4"/>
      <c r="O29" s="10" t="e">
        <f t="shared" si="1"/>
        <v>#DIV/0!</v>
      </c>
      <c r="P29" s="7" t="e">
        <f t="shared" si="2"/>
        <v>#DIV/0!</v>
      </c>
    </row>
    <row r="30" spans="2:16" s="2" customFormat="1" x14ac:dyDescent="0.3">
      <c r="B30" t="s">
        <v>22</v>
      </c>
      <c r="C30" t="s">
        <v>11</v>
      </c>
      <c r="D30" t="s">
        <v>21</v>
      </c>
      <c r="E30" s="1"/>
      <c r="F30" s="3" t="e">
        <f>E30/E5</f>
        <v>#DIV/0!</v>
      </c>
      <c r="G30" t="e">
        <f>ROUNDDOWN(F30*E6,0)</f>
        <v>#DIV/0!</v>
      </c>
      <c r="H30" s="4"/>
      <c r="I30" s="7" t="e">
        <f t="shared" si="3"/>
        <v>#DIV/0!</v>
      </c>
      <c r="J30" s="7" t="e">
        <f t="shared" si="0"/>
        <v>#DIV/0!</v>
      </c>
      <c r="K30" s="8"/>
      <c r="L30" s="3" t="e">
        <f>K30/E5</f>
        <v>#DIV/0!</v>
      </c>
      <c r="M30" s="8" t="e">
        <f>ROUNDDOWN(L30*E6,0)</f>
        <v>#DIV/0!</v>
      </c>
      <c r="N30" s="4"/>
      <c r="O30" s="10" t="e">
        <f t="shared" si="1"/>
        <v>#DIV/0!</v>
      </c>
      <c r="P30" s="7" t="e">
        <f t="shared" si="2"/>
        <v>#DIV/0!</v>
      </c>
    </row>
    <row r="31" spans="2:16" s="2" customFormat="1" x14ac:dyDescent="0.3">
      <c r="B31" t="s">
        <v>22</v>
      </c>
      <c r="C31" t="s">
        <v>12</v>
      </c>
      <c r="D31" t="s">
        <v>21</v>
      </c>
      <c r="E31" s="1"/>
      <c r="F31" s="3" t="e">
        <f>E31/E5</f>
        <v>#DIV/0!</v>
      </c>
      <c r="G31" t="e">
        <f>ROUNDDOWN(F31*E6,0)</f>
        <v>#DIV/0!</v>
      </c>
      <c r="H31" s="4"/>
      <c r="I31" s="7" t="e">
        <f>H31/E31</f>
        <v>#DIV/0!</v>
      </c>
      <c r="J31" s="7" t="e">
        <f t="shared" si="0"/>
        <v>#DIV/0!</v>
      </c>
      <c r="K31" s="8"/>
      <c r="L31" s="3" t="e">
        <f>K31/E5</f>
        <v>#DIV/0!</v>
      </c>
      <c r="M31" s="8" t="e">
        <f>ROUNDDOWN(L31*E6,0)</f>
        <v>#DIV/0!</v>
      </c>
      <c r="N31" s="10"/>
      <c r="O31" s="10" t="e">
        <f t="shared" si="1"/>
        <v>#DIV/0!</v>
      </c>
      <c r="P31" s="7" t="e">
        <f t="shared" si="2"/>
        <v>#DIV/0!</v>
      </c>
    </row>
    <row r="32" spans="2:16" s="2" customFormat="1" x14ac:dyDescent="0.3">
      <c r="B32" t="s">
        <v>22</v>
      </c>
      <c r="C32" t="s">
        <v>42</v>
      </c>
      <c r="D32" t="s">
        <v>21</v>
      </c>
      <c r="E32" s="1"/>
      <c r="F32" s="3" t="e">
        <f>E32/E5</f>
        <v>#DIV/0!</v>
      </c>
      <c r="G32" t="e">
        <f>ROUNDDOWN(F32*E6,0)</f>
        <v>#DIV/0!</v>
      </c>
      <c r="H32" s="4"/>
      <c r="I32" s="7" t="e">
        <f t="shared" si="3"/>
        <v>#DIV/0!</v>
      </c>
      <c r="J32" s="7" t="e">
        <f t="shared" si="0"/>
        <v>#DIV/0!</v>
      </c>
      <c r="K32" s="8"/>
      <c r="L32" s="3" t="e">
        <f>K32/E5</f>
        <v>#DIV/0!</v>
      </c>
      <c r="M32" s="8" t="e">
        <f>ROUNDDOWN(L32*E6,0)</f>
        <v>#DIV/0!</v>
      </c>
      <c r="N32" s="4"/>
      <c r="O32" s="10" t="e">
        <f t="shared" si="1"/>
        <v>#DIV/0!</v>
      </c>
      <c r="P32" s="7" t="e">
        <f t="shared" si="2"/>
        <v>#DIV/0!</v>
      </c>
    </row>
    <row r="33" spans="2:16" s="2" customFormat="1" x14ac:dyDescent="0.3">
      <c r="B33" t="s">
        <v>22</v>
      </c>
      <c r="C33" t="s">
        <v>43</v>
      </c>
      <c r="D33" t="s">
        <v>21</v>
      </c>
      <c r="E33" s="1"/>
      <c r="F33" s="3" t="e">
        <f>E33/E5</f>
        <v>#DIV/0!</v>
      </c>
      <c r="G33" t="e">
        <f>ROUNDDOWN(F33*E6,0)</f>
        <v>#DIV/0!</v>
      </c>
      <c r="H33" s="4"/>
      <c r="I33" s="7" t="e">
        <f t="shared" si="3"/>
        <v>#DIV/0!</v>
      </c>
      <c r="J33" s="7" t="e">
        <f t="shared" si="0"/>
        <v>#DIV/0!</v>
      </c>
      <c r="K33" s="8"/>
      <c r="L33" s="3" t="e">
        <f>K33/E5</f>
        <v>#DIV/0!</v>
      </c>
      <c r="M33" s="8" t="e">
        <f>ROUNDDOWN(L33*E6,0)</f>
        <v>#DIV/0!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t="s">
        <v>22</v>
      </c>
      <c r="C34" t="s">
        <v>13</v>
      </c>
      <c r="D34" t="s">
        <v>21</v>
      </c>
      <c r="E34" s="1"/>
      <c r="F34" s="3" t="e">
        <f>E34/E5</f>
        <v>#DIV/0!</v>
      </c>
      <c r="G34" t="e">
        <f>ROUNDDOWN(F34*E6,0)</f>
        <v>#DIV/0!</v>
      </c>
      <c r="H34" s="4"/>
      <c r="I34" s="7" t="e">
        <f t="shared" si="3"/>
        <v>#DIV/0!</v>
      </c>
      <c r="J34" s="7" t="e">
        <f t="shared" si="0"/>
        <v>#DIV/0!</v>
      </c>
      <c r="K34" s="8"/>
      <c r="L34" s="3" t="e">
        <f>K34/E5</f>
        <v>#DIV/0!</v>
      </c>
      <c r="M34" s="8" t="e">
        <f>ROUNDDOWN(L34*E6,0)</f>
        <v>#DIV/0!</v>
      </c>
      <c r="N34" s="4"/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t="s">
        <v>22</v>
      </c>
      <c r="C35" t="s">
        <v>44</v>
      </c>
      <c r="D35" t="s">
        <v>21</v>
      </c>
      <c r="E35" s="1"/>
      <c r="F35" s="3" t="e">
        <f>E35/E5</f>
        <v>#DIV/0!</v>
      </c>
      <c r="G35" t="e">
        <f>ROUNDDOWN(F35*E6,0)</f>
        <v>#DIV/0!</v>
      </c>
      <c r="H35" s="4"/>
      <c r="I35" s="7" t="e">
        <f t="shared" si="3"/>
        <v>#DIV/0!</v>
      </c>
      <c r="J35" s="7" t="e">
        <f t="shared" si="0"/>
        <v>#DIV/0!</v>
      </c>
      <c r="K35" s="8"/>
      <c r="L35" s="3" t="e">
        <f>K35/E5</f>
        <v>#DIV/0!</v>
      </c>
      <c r="M35" s="8" t="e">
        <f>ROUNDDOWN(L35*E6,0)</f>
        <v>#DIV/0!</v>
      </c>
      <c r="N35" s="4"/>
      <c r="O35" s="10" t="e">
        <f t="shared" si="1"/>
        <v>#DIV/0!</v>
      </c>
      <c r="P35" s="7" t="e">
        <f t="shared" si="2"/>
        <v>#DIV/0!</v>
      </c>
    </row>
    <row r="36" spans="2:16" s="2" customFormat="1" x14ac:dyDescent="0.3">
      <c r="B36" t="s">
        <v>22</v>
      </c>
      <c r="C36" t="s">
        <v>14</v>
      </c>
      <c r="D36" t="s">
        <v>21</v>
      </c>
      <c r="E36" s="1"/>
      <c r="F36" s="3" t="e">
        <f>E36/E5</f>
        <v>#DIV/0!</v>
      </c>
      <c r="G36" t="e">
        <f>ROUNDDOWN(F36*E6,0)</f>
        <v>#DIV/0!</v>
      </c>
      <c r="H36" s="4"/>
      <c r="I36" s="7" t="e">
        <f t="shared" si="3"/>
        <v>#DIV/0!</v>
      </c>
      <c r="J36" s="7" t="e">
        <f t="shared" si="0"/>
        <v>#DIV/0!</v>
      </c>
      <c r="K36" s="8"/>
      <c r="L36" s="3" t="e">
        <f>K36/E5</f>
        <v>#DIV/0!</v>
      </c>
      <c r="M36" s="8" t="e">
        <f>ROUNDDOWN(L36*E6,0)</f>
        <v>#DIV/0!</v>
      </c>
      <c r="N36" s="10"/>
      <c r="O36" s="10" t="e">
        <f t="shared" si="1"/>
        <v>#DIV/0!</v>
      </c>
      <c r="P36" s="7" t="e">
        <f t="shared" si="2"/>
        <v>#DIV/0!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0</v>
      </c>
      <c r="G38" t="e">
        <f>SUM(G8:G36)</f>
        <v>#DIV/0!</v>
      </c>
      <c r="I38" s="7" t="e">
        <f t="shared" si="3"/>
        <v>#DIV/0!</v>
      </c>
      <c r="J38" s="7" t="e">
        <f t="shared" si="0"/>
        <v>#DIV/0!</v>
      </c>
      <c r="L38" s="3"/>
      <c r="M38" s="3"/>
      <c r="N38" s="10"/>
      <c r="O38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9F96-9BA7-4C55-8385-61C4397D637C}">
  <dimension ref="B4:P38"/>
  <sheetViews>
    <sheetView topLeftCell="A4" workbookViewId="0">
      <selection activeCell="F7" sqref="F7"/>
    </sheetView>
  </sheetViews>
  <sheetFormatPr defaultRowHeight="14.4" x14ac:dyDescent="0.3"/>
  <cols>
    <col min="2" max="2" width="70.109375" customWidth="1"/>
    <col min="3" max="3" width="27.5546875" bestFit="1" customWidth="1"/>
    <col min="4" max="4" width="17.6640625" customWidth="1"/>
    <col min="5" max="5" width="8.88671875" customWidth="1"/>
    <col min="6" max="6" width="24.6640625" customWidth="1"/>
    <col min="7" max="7" width="48.88671875" customWidth="1"/>
    <col min="8" max="8" width="41.88671875" style="5" customWidth="1"/>
    <col min="9" max="9" width="44" style="7" customWidth="1"/>
    <col min="10" max="10" width="56.21875" customWidth="1"/>
    <col min="11" max="11" width="34.21875" style="8" bestFit="1" customWidth="1"/>
    <col min="12" max="13" width="34.21875" style="8" customWidth="1"/>
    <col min="14" max="15" width="44.6640625" customWidth="1"/>
    <col min="16" max="16" width="37.77734375" bestFit="1" customWidth="1"/>
  </cols>
  <sheetData>
    <row r="4" spans="2:16" x14ac:dyDescent="0.3">
      <c r="B4" t="s">
        <v>0</v>
      </c>
      <c r="C4" t="s">
        <v>1</v>
      </c>
      <c r="D4" t="s">
        <v>6</v>
      </c>
      <c r="E4" t="s">
        <v>2</v>
      </c>
      <c r="F4" t="s">
        <v>16</v>
      </c>
      <c r="G4" t="s">
        <v>20</v>
      </c>
      <c r="H4" s="5" t="s">
        <v>24</v>
      </c>
      <c r="I4" s="7" t="s">
        <v>45</v>
      </c>
      <c r="J4" t="s">
        <v>46</v>
      </c>
      <c r="K4" s="8" t="s">
        <v>48</v>
      </c>
      <c r="L4" s="8" t="s">
        <v>50</v>
      </c>
      <c r="M4" s="8" t="s">
        <v>51</v>
      </c>
      <c r="N4" t="s">
        <v>49</v>
      </c>
      <c r="O4" s="8" t="s">
        <v>53</v>
      </c>
      <c r="P4" s="8" t="s">
        <v>52</v>
      </c>
    </row>
    <row r="5" spans="2:16" x14ac:dyDescent="0.3">
      <c r="B5" t="s">
        <v>3</v>
      </c>
      <c r="C5" t="s">
        <v>56</v>
      </c>
      <c r="D5" t="s">
        <v>7</v>
      </c>
      <c r="E5" s="1"/>
      <c r="F5" t="s">
        <v>15</v>
      </c>
      <c r="G5" t="s">
        <v>19</v>
      </c>
      <c r="J5" t="s">
        <v>47</v>
      </c>
      <c r="P5" t="s">
        <v>54</v>
      </c>
    </row>
    <row r="6" spans="2:16" s="2" customFormat="1" x14ac:dyDescent="0.3">
      <c r="B6" t="s">
        <v>18</v>
      </c>
      <c r="C6" t="s">
        <v>57</v>
      </c>
      <c r="D6" t="s">
        <v>7</v>
      </c>
      <c r="E6" s="1"/>
      <c r="F6"/>
      <c r="G6"/>
      <c r="H6" s="5"/>
      <c r="I6" s="7"/>
      <c r="K6" s="8"/>
      <c r="L6" s="8"/>
      <c r="M6" s="8"/>
    </row>
    <row r="7" spans="2:16" s="2" customFormat="1" x14ac:dyDescent="0.3">
      <c r="B7" t="s">
        <v>22</v>
      </c>
      <c r="C7" t="s">
        <v>25</v>
      </c>
      <c r="D7" t="s">
        <v>21</v>
      </c>
      <c r="E7" s="1"/>
      <c r="F7" s="3" t="e">
        <f>E7/E5</f>
        <v>#DIV/0!</v>
      </c>
      <c r="G7" t="e">
        <f>ROUNDDOWN(F7*E6,0)</f>
        <v>#DIV/0!</v>
      </c>
      <c r="H7" s="5"/>
      <c r="I7" s="7" t="e">
        <f>H7/E7</f>
        <v>#DIV/0!</v>
      </c>
      <c r="J7" s="7" t="e">
        <f>I7*G7</f>
        <v>#DIV/0!</v>
      </c>
      <c r="K7" s="8"/>
      <c r="L7" s="3" t="e">
        <f>K7/E5</f>
        <v>#DIV/0!</v>
      </c>
      <c r="M7" s="8" t="e">
        <f>ROUNDDOWN(L7*E6,0)</f>
        <v>#DIV/0!</v>
      </c>
      <c r="N7" s="10"/>
      <c r="O7" s="10" t="e">
        <f>N7/K7</f>
        <v>#DIV/0!</v>
      </c>
      <c r="P7" s="7" t="e">
        <f>M7*O7</f>
        <v>#DIV/0!</v>
      </c>
    </row>
    <row r="8" spans="2:16" s="2" customFormat="1" x14ac:dyDescent="0.3">
      <c r="B8" t="s">
        <v>22</v>
      </c>
      <c r="C8" t="s">
        <v>23</v>
      </c>
      <c r="D8" t="s">
        <v>21</v>
      </c>
      <c r="E8" s="1"/>
      <c r="F8" s="3" t="e">
        <f>E8/E5</f>
        <v>#DIV/0!</v>
      </c>
      <c r="G8" t="e">
        <f>ROUNDDOWN(F8*E6,0)</f>
        <v>#DIV/0!</v>
      </c>
      <c r="H8" s="5"/>
      <c r="I8" s="7" t="e">
        <f>H8/E8</f>
        <v>#DIV/0!</v>
      </c>
      <c r="J8" s="7" t="e">
        <f t="shared" ref="J8:J38" si="0">I8*G8</f>
        <v>#DIV/0!</v>
      </c>
      <c r="K8" s="8"/>
      <c r="L8" s="3" t="e">
        <f>K8/E5</f>
        <v>#DIV/0!</v>
      </c>
      <c r="M8" s="8" t="e">
        <f>ROUNDDOWN(L8*E6,0)</f>
        <v>#DIV/0!</v>
      </c>
      <c r="N8" s="10"/>
      <c r="O8" s="10" t="e">
        <f t="shared" ref="O8:O36" si="1">N8/K8</f>
        <v>#DIV/0!</v>
      </c>
      <c r="P8" s="7" t="e">
        <f t="shared" ref="P8:P36" si="2">M8*O8</f>
        <v>#DIV/0!</v>
      </c>
    </row>
    <row r="9" spans="2:16" s="2" customFormat="1" x14ac:dyDescent="0.3">
      <c r="B9" t="s">
        <v>22</v>
      </c>
      <c r="C9" t="s">
        <v>26</v>
      </c>
      <c r="D9" t="s">
        <v>21</v>
      </c>
      <c r="E9" s="1"/>
      <c r="F9" s="3" t="e">
        <f>E9/E5</f>
        <v>#DIV/0!</v>
      </c>
      <c r="G9" t="e">
        <f>ROUNDDOWN(F9*E6,0)</f>
        <v>#DIV/0!</v>
      </c>
      <c r="H9" s="4"/>
      <c r="I9" s="7" t="e">
        <f t="shared" ref="I9:I38" si="3">H9/E9</f>
        <v>#DIV/0!</v>
      </c>
      <c r="J9" s="7" t="e">
        <f t="shared" si="0"/>
        <v>#DIV/0!</v>
      </c>
      <c r="K9" s="8"/>
      <c r="L9" s="3" t="e">
        <f>K9/E5</f>
        <v>#DIV/0!</v>
      </c>
      <c r="M9" s="8" t="e">
        <f>ROUNDDOWN(L9*E6,0)</f>
        <v>#DIV/0!</v>
      </c>
      <c r="N9" s="10"/>
      <c r="O9" s="10" t="e">
        <f t="shared" si="1"/>
        <v>#DIV/0!</v>
      </c>
      <c r="P9" s="7" t="e">
        <f t="shared" si="2"/>
        <v>#DIV/0!</v>
      </c>
    </row>
    <row r="10" spans="2:16" s="2" customFormat="1" x14ac:dyDescent="0.3">
      <c r="B10" t="s">
        <v>22</v>
      </c>
      <c r="C10" t="s">
        <v>27</v>
      </c>
      <c r="D10" t="s">
        <v>21</v>
      </c>
      <c r="E10" s="1"/>
      <c r="F10" s="3" t="e">
        <f>E10/E5</f>
        <v>#DIV/0!</v>
      </c>
      <c r="G10" t="e">
        <f>ROUNDDOWN(F10*E6,0)</f>
        <v>#DIV/0!</v>
      </c>
      <c r="H10" s="4"/>
      <c r="I10" s="7" t="e">
        <f t="shared" si="3"/>
        <v>#DIV/0!</v>
      </c>
      <c r="J10" s="7" t="e">
        <f t="shared" si="0"/>
        <v>#DIV/0!</v>
      </c>
      <c r="K10" s="8"/>
      <c r="L10" s="3" t="e">
        <f>K10/E5</f>
        <v>#DIV/0!</v>
      </c>
      <c r="M10" s="8" t="e">
        <f>ROUNDDOWN(L10*E6,0)</f>
        <v>#DIV/0!</v>
      </c>
      <c r="N10" s="10"/>
      <c r="O10" s="10" t="e">
        <f t="shared" si="1"/>
        <v>#DIV/0!</v>
      </c>
      <c r="P10" s="7" t="e">
        <f t="shared" si="2"/>
        <v>#DIV/0!</v>
      </c>
    </row>
    <row r="11" spans="2:16" s="2" customFormat="1" x14ac:dyDescent="0.3">
      <c r="B11" t="s">
        <v>22</v>
      </c>
      <c r="C11" t="s">
        <v>28</v>
      </c>
      <c r="D11" t="s">
        <v>21</v>
      </c>
      <c r="E11" s="1"/>
      <c r="F11" s="3" t="e">
        <f>E11/E5</f>
        <v>#DIV/0!</v>
      </c>
      <c r="G11" t="e">
        <f>ROUNDDOWN(F11*E6,0)</f>
        <v>#DIV/0!</v>
      </c>
      <c r="H11" s="6"/>
      <c r="I11" s="7" t="e">
        <f t="shared" si="3"/>
        <v>#DIV/0!</v>
      </c>
      <c r="J11" s="7" t="e">
        <f t="shared" si="0"/>
        <v>#DIV/0!</v>
      </c>
      <c r="K11" s="8"/>
      <c r="L11" s="3" t="e">
        <f>K11/E5</f>
        <v>#DIV/0!</v>
      </c>
      <c r="M11" s="8" t="e">
        <f>ROUNDDOWN(L11*E6,0)</f>
        <v>#DIV/0!</v>
      </c>
      <c r="N11" s="10"/>
      <c r="O11" s="10" t="e">
        <f t="shared" si="1"/>
        <v>#DIV/0!</v>
      </c>
      <c r="P11" s="7" t="e">
        <f t="shared" si="2"/>
        <v>#DIV/0!</v>
      </c>
    </row>
    <row r="12" spans="2:16" s="2" customFormat="1" x14ac:dyDescent="0.3">
      <c r="B12" t="s">
        <v>22</v>
      </c>
      <c r="C12" t="s">
        <v>4</v>
      </c>
      <c r="D12" t="s">
        <v>21</v>
      </c>
      <c r="E12" s="1"/>
      <c r="F12" s="3" t="e">
        <f>E12/E5</f>
        <v>#DIV/0!</v>
      </c>
      <c r="G12" t="e">
        <f>ROUNDDOWN(F12*E6,0)</f>
        <v>#DIV/0!</v>
      </c>
      <c r="H12" s="5"/>
      <c r="I12" s="7" t="e">
        <f t="shared" si="3"/>
        <v>#DIV/0!</v>
      </c>
      <c r="J12" s="7" t="e">
        <f t="shared" si="0"/>
        <v>#DIV/0!</v>
      </c>
      <c r="K12" s="8"/>
      <c r="L12" s="3" t="e">
        <f>K12/E5</f>
        <v>#DIV/0!</v>
      </c>
      <c r="M12" s="8" t="e">
        <f>ROUNDDOWN(L12*E6,0)</f>
        <v>#DIV/0!</v>
      </c>
      <c r="N12" s="10"/>
      <c r="O12" s="10" t="e">
        <f t="shared" si="1"/>
        <v>#DIV/0!</v>
      </c>
      <c r="P12" s="7" t="e">
        <f t="shared" si="2"/>
        <v>#DIV/0!</v>
      </c>
    </row>
    <row r="13" spans="2:16" s="2" customFormat="1" x14ac:dyDescent="0.3">
      <c r="B13" t="s">
        <v>22</v>
      </c>
      <c r="C13" t="s">
        <v>5</v>
      </c>
      <c r="D13" t="s">
        <v>21</v>
      </c>
      <c r="E13" s="1"/>
      <c r="F13" s="3" t="e">
        <f>E13/E5</f>
        <v>#DIV/0!</v>
      </c>
      <c r="G13" t="e">
        <f>ROUNDDOWN(F13*E6,0)</f>
        <v>#DIV/0!</v>
      </c>
      <c r="H13" s="5"/>
      <c r="I13" s="7" t="e">
        <f t="shared" si="3"/>
        <v>#DIV/0!</v>
      </c>
      <c r="J13" s="7" t="e">
        <f t="shared" si="0"/>
        <v>#DIV/0!</v>
      </c>
      <c r="K13" s="8"/>
      <c r="L13" s="3" t="e">
        <f>K13/E5</f>
        <v>#DIV/0!</v>
      </c>
      <c r="M13" s="8" t="e">
        <f>ROUNDDOWN(L13*E6,0)</f>
        <v>#DIV/0!</v>
      </c>
      <c r="N13" s="10"/>
      <c r="O13" s="10" t="e">
        <f t="shared" si="1"/>
        <v>#DIV/0!</v>
      </c>
      <c r="P13" s="7" t="e">
        <f t="shared" si="2"/>
        <v>#DIV/0!</v>
      </c>
    </row>
    <row r="14" spans="2:16" s="2" customFormat="1" x14ac:dyDescent="0.3">
      <c r="B14" t="s">
        <v>22</v>
      </c>
      <c r="C14" t="s">
        <v>29</v>
      </c>
      <c r="D14" t="s">
        <v>21</v>
      </c>
      <c r="E14" s="1"/>
      <c r="F14" s="3" t="e">
        <f>E14/E5</f>
        <v>#DIV/0!</v>
      </c>
      <c r="G14" t="e">
        <f>ROUNDDOWN(F14*E6,0)</f>
        <v>#DIV/0!</v>
      </c>
      <c r="H14" s="4"/>
      <c r="I14" s="7" t="e">
        <f t="shared" si="3"/>
        <v>#DIV/0!</v>
      </c>
      <c r="J14" s="7" t="e">
        <f t="shared" si="0"/>
        <v>#DIV/0!</v>
      </c>
      <c r="K14" s="8"/>
      <c r="L14" s="3" t="e">
        <f>K14/E5</f>
        <v>#DIV/0!</v>
      </c>
      <c r="M14" s="8" t="e">
        <f>ROUNDDOWN(L14*E6,0)</f>
        <v>#DIV/0!</v>
      </c>
      <c r="N14" s="10"/>
      <c r="O14" s="10" t="e">
        <f t="shared" si="1"/>
        <v>#DIV/0!</v>
      </c>
      <c r="P14" s="7" t="e">
        <f t="shared" si="2"/>
        <v>#DIV/0!</v>
      </c>
    </row>
    <row r="15" spans="2:16" s="2" customFormat="1" x14ac:dyDescent="0.3">
      <c r="B15" t="s">
        <v>22</v>
      </c>
      <c r="C15" t="s">
        <v>8</v>
      </c>
      <c r="D15" t="s">
        <v>21</v>
      </c>
      <c r="E15" s="1"/>
      <c r="F15" s="3" t="e">
        <f>E15/E5</f>
        <v>#DIV/0!</v>
      </c>
      <c r="G15" t="e">
        <f>ROUNDDOWN(F15*E6,0)</f>
        <v>#DIV/0!</v>
      </c>
      <c r="H15" s="4"/>
      <c r="I15" s="7" t="e">
        <f t="shared" si="3"/>
        <v>#DIV/0!</v>
      </c>
      <c r="J15" s="7" t="e">
        <f t="shared" si="0"/>
        <v>#DIV/0!</v>
      </c>
      <c r="K15" s="8"/>
      <c r="L15" s="3" t="e">
        <f>K15/E5</f>
        <v>#DIV/0!</v>
      </c>
      <c r="M15" s="8" t="e">
        <f>ROUNDDOWN(L15*E6,0)</f>
        <v>#DIV/0!</v>
      </c>
      <c r="N15" s="10"/>
      <c r="O15" s="10" t="e">
        <f t="shared" si="1"/>
        <v>#DIV/0!</v>
      </c>
      <c r="P15" s="7" t="e">
        <f t="shared" si="2"/>
        <v>#DIV/0!</v>
      </c>
    </row>
    <row r="16" spans="2:16" s="2" customFormat="1" x14ac:dyDescent="0.3">
      <c r="B16" t="s">
        <v>22</v>
      </c>
      <c r="C16" t="s">
        <v>30</v>
      </c>
      <c r="D16" t="s">
        <v>21</v>
      </c>
      <c r="E16" s="1"/>
      <c r="F16" s="3" t="e">
        <f>E16/E5</f>
        <v>#DIV/0!</v>
      </c>
      <c r="G16" t="e">
        <f>ROUNDDOWN(F16*E6,0)</f>
        <v>#DIV/0!</v>
      </c>
      <c r="H16" s="4"/>
      <c r="I16" s="7" t="e">
        <f t="shared" si="3"/>
        <v>#DIV/0!</v>
      </c>
      <c r="J16" s="7" t="e">
        <f t="shared" si="0"/>
        <v>#DIV/0!</v>
      </c>
      <c r="K16" s="8"/>
      <c r="L16" s="3" t="e">
        <f>K16/E5</f>
        <v>#DIV/0!</v>
      </c>
      <c r="M16" s="8" t="e">
        <f>ROUNDDOWN(L16*E6,0)</f>
        <v>#DIV/0!</v>
      </c>
      <c r="N16" s="10"/>
      <c r="O16" s="10" t="e">
        <f t="shared" si="1"/>
        <v>#DIV/0!</v>
      </c>
      <c r="P16" s="7" t="e">
        <f t="shared" si="2"/>
        <v>#DIV/0!</v>
      </c>
    </row>
    <row r="17" spans="2:16" s="2" customFormat="1" x14ac:dyDescent="0.3">
      <c r="B17" t="s">
        <v>22</v>
      </c>
      <c r="C17" t="s">
        <v>31</v>
      </c>
      <c r="D17" t="s">
        <v>21</v>
      </c>
      <c r="E17" s="1"/>
      <c r="F17" s="3" t="e">
        <f>E17/E5</f>
        <v>#DIV/0!</v>
      </c>
      <c r="G17" t="e">
        <f>ROUNDDOWN(F17*E6,0)</f>
        <v>#DIV/0!</v>
      </c>
      <c r="H17" s="4"/>
      <c r="I17" s="7" t="e">
        <f t="shared" si="3"/>
        <v>#DIV/0!</v>
      </c>
      <c r="J17" s="7" t="e">
        <f t="shared" si="0"/>
        <v>#DIV/0!</v>
      </c>
      <c r="K17" s="8"/>
      <c r="L17" s="3" t="e">
        <f>K17/E5</f>
        <v>#DIV/0!</v>
      </c>
      <c r="M17" s="8" t="e">
        <f>ROUNDDOWN(L17*E6,0)</f>
        <v>#DIV/0!</v>
      </c>
      <c r="N17" s="11"/>
      <c r="O17" s="10" t="e">
        <f t="shared" si="1"/>
        <v>#DIV/0!</v>
      </c>
      <c r="P17" s="7" t="e">
        <f t="shared" si="2"/>
        <v>#DIV/0!</v>
      </c>
    </row>
    <row r="18" spans="2:16" s="2" customFormat="1" x14ac:dyDescent="0.3">
      <c r="B18" t="s">
        <v>22</v>
      </c>
      <c r="C18" t="s">
        <v>32</v>
      </c>
      <c r="D18" t="s">
        <v>21</v>
      </c>
      <c r="E18" s="1"/>
      <c r="F18" s="3" t="e">
        <f>E18/E5</f>
        <v>#DIV/0!</v>
      </c>
      <c r="G18" t="e">
        <f>ROUNDDOWN(F18*E6,0)</f>
        <v>#DIV/0!</v>
      </c>
      <c r="H18" s="4"/>
      <c r="I18" s="7" t="e">
        <f t="shared" si="3"/>
        <v>#DIV/0!</v>
      </c>
      <c r="J18" s="7" t="e">
        <f t="shared" si="0"/>
        <v>#DIV/0!</v>
      </c>
      <c r="K18" s="8"/>
      <c r="L18" s="3" t="e">
        <f>K18/E5</f>
        <v>#DIV/0!</v>
      </c>
      <c r="M18" s="8" t="e">
        <f>ROUNDDOWN(L18*E6,0)</f>
        <v>#DIV/0!</v>
      </c>
      <c r="N18" s="10"/>
      <c r="O18" s="10" t="e">
        <f t="shared" si="1"/>
        <v>#DIV/0!</v>
      </c>
      <c r="P18" s="7" t="e">
        <f t="shared" si="2"/>
        <v>#DIV/0!</v>
      </c>
    </row>
    <row r="19" spans="2:16" s="2" customFormat="1" x14ac:dyDescent="0.3">
      <c r="B19" t="s">
        <v>22</v>
      </c>
      <c r="C19" t="s">
        <v>33</v>
      </c>
      <c r="D19" t="s">
        <v>21</v>
      </c>
      <c r="E19" s="1"/>
      <c r="F19" s="3" t="e">
        <f>E19/E5</f>
        <v>#DIV/0!</v>
      </c>
      <c r="G19" t="e">
        <f>ROUNDDOWN(F19*E6,0)</f>
        <v>#DIV/0!</v>
      </c>
      <c r="H19" s="4"/>
      <c r="I19" s="7" t="e">
        <f t="shared" si="3"/>
        <v>#DIV/0!</v>
      </c>
      <c r="J19" s="7" t="e">
        <f t="shared" si="0"/>
        <v>#DIV/0!</v>
      </c>
      <c r="K19" s="8"/>
      <c r="L19" s="3" t="e">
        <f>K19/E5</f>
        <v>#DIV/0!</v>
      </c>
      <c r="M19" s="8" t="e">
        <f>ROUNDDOWN(L19*E6,0)</f>
        <v>#DIV/0!</v>
      </c>
      <c r="N19" s="10"/>
      <c r="O19" s="10" t="e">
        <f t="shared" si="1"/>
        <v>#DIV/0!</v>
      </c>
      <c r="P19" s="7" t="e">
        <f t="shared" si="2"/>
        <v>#DIV/0!</v>
      </c>
    </row>
    <row r="20" spans="2:16" s="2" customFormat="1" x14ac:dyDescent="0.3">
      <c r="B20" t="s">
        <v>22</v>
      </c>
      <c r="C20" t="s">
        <v>34</v>
      </c>
      <c r="D20" t="s">
        <v>21</v>
      </c>
      <c r="E20" s="1"/>
      <c r="F20" s="3" t="e">
        <f>E20/E5</f>
        <v>#DIV/0!</v>
      </c>
      <c r="G20" t="e">
        <f>ROUNDDOWN(F20*E6,0)</f>
        <v>#DIV/0!</v>
      </c>
      <c r="H20" s="4"/>
      <c r="I20" s="7" t="e">
        <f t="shared" si="3"/>
        <v>#DIV/0!</v>
      </c>
      <c r="J20" s="7" t="e">
        <f t="shared" si="0"/>
        <v>#DIV/0!</v>
      </c>
      <c r="K20" s="8"/>
      <c r="L20" s="3" t="e">
        <f>K20/E5</f>
        <v>#DIV/0!</v>
      </c>
      <c r="M20" s="8" t="e">
        <f>ROUNDDOWN(L20*E6,0)</f>
        <v>#DIV/0!</v>
      </c>
      <c r="N20" s="10"/>
      <c r="O20" s="10" t="e">
        <f t="shared" si="1"/>
        <v>#DIV/0!</v>
      </c>
      <c r="P20" s="7" t="e">
        <f t="shared" si="2"/>
        <v>#DIV/0!</v>
      </c>
    </row>
    <row r="21" spans="2:16" s="2" customFormat="1" x14ac:dyDescent="0.3">
      <c r="B21" t="s">
        <v>22</v>
      </c>
      <c r="C21" t="s">
        <v>35</v>
      </c>
      <c r="D21" t="s">
        <v>21</v>
      </c>
      <c r="E21" s="1"/>
      <c r="F21" s="3" t="e">
        <f>E21/E5</f>
        <v>#DIV/0!</v>
      </c>
      <c r="G21" t="e">
        <f>ROUNDDOWN(F21*E6,0)</f>
        <v>#DIV/0!</v>
      </c>
      <c r="H21" s="4"/>
      <c r="I21" s="7" t="e">
        <f t="shared" si="3"/>
        <v>#DIV/0!</v>
      </c>
      <c r="J21" s="7" t="e">
        <f t="shared" si="0"/>
        <v>#DIV/0!</v>
      </c>
      <c r="K21" s="8"/>
      <c r="L21" s="3" t="e">
        <f>K21/E5</f>
        <v>#DIV/0!</v>
      </c>
      <c r="M21" s="8" t="e">
        <f>ROUNDDOWN(L21*E6,0)</f>
        <v>#DIV/0!</v>
      </c>
      <c r="N21" s="10"/>
      <c r="O21" s="10" t="e">
        <f t="shared" si="1"/>
        <v>#DIV/0!</v>
      </c>
      <c r="P21" s="7" t="e">
        <f t="shared" si="2"/>
        <v>#DIV/0!</v>
      </c>
    </row>
    <row r="22" spans="2:16" s="2" customFormat="1" x14ac:dyDescent="0.3">
      <c r="B22" t="s">
        <v>22</v>
      </c>
      <c r="C22" t="s">
        <v>9</v>
      </c>
      <c r="D22" t="s">
        <v>21</v>
      </c>
      <c r="E22" s="1"/>
      <c r="F22" s="3" t="e">
        <f>E22/E5</f>
        <v>#DIV/0!</v>
      </c>
      <c r="G22" t="e">
        <f>ROUNDDOWN(F22*E6,0)</f>
        <v>#DIV/0!</v>
      </c>
      <c r="H22" s="4"/>
      <c r="I22" s="7" t="e">
        <f t="shared" si="3"/>
        <v>#DIV/0!</v>
      </c>
      <c r="J22" s="7" t="e">
        <f t="shared" si="0"/>
        <v>#DIV/0!</v>
      </c>
      <c r="K22" s="8"/>
      <c r="L22" s="3" t="e">
        <f>K22/E5</f>
        <v>#DIV/0!</v>
      </c>
      <c r="M22" s="8" t="e">
        <f>ROUNDDOWN(L22*E6,0)</f>
        <v>#DIV/0!</v>
      </c>
      <c r="N22" s="10"/>
      <c r="O22" s="10" t="e">
        <f t="shared" si="1"/>
        <v>#DIV/0!</v>
      </c>
      <c r="P22" s="7" t="e">
        <f t="shared" si="2"/>
        <v>#DIV/0!</v>
      </c>
    </row>
    <row r="23" spans="2:16" s="2" customFormat="1" x14ac:dyDescent="0.3">
      <c r="B23" t="s">
        <v>22</v>
      </c>
      <c r="C23" t="s">
        <v>36</v>
      </c>
      <c r="D23" t="s">
        <v>21</v>
      </c>
      <c r="E23" s="1"/>
      <c r="F23" s="3" t="e">
        <f>E23/E5</f>
        <v>#DIV/0!</v>
      </c>
      <c r="G23" t="e">
        <f>ROUNDDOWN(F23*E6,0)</f>
        <v>#DIV/0!</v>
      </c>
      <c r="H23" s="4"/>
      <c r="I23" s="7" t="e">
        <f t="shared" si="3"/>
        <v>#DIV/0!</v>
      </c>
      <c r="J23" s="7" t="e">
        <f t="shared" si="0"/>
        <v>#DIV/0!</v>
      </c>
      <c r="K23" s="8"/>
      <c r="L23" s="3" t="e">
        <f>K23/E5</f>
        <v>#DIV/0!</v>
      </c>
      <c r="M23" s="8" t="e">
        <f>ROUNDDOWN(L23*E6,0)</f>
        <v>#DIV/0!</v>
      </c>
      <c r="N23" s="10"/>
      <c r="O23" s="10" t="e">
        <f t="shared" si="1"/>
        <v>#DIV/0!</v>
      </c>
      <c r="P23" s="7" t="e">
        <f t="shared" si="2"/>
        <v>#DIV/0!</v>
      </c>
    </row>
    <row r="24" spans="2:16" s="2" customFormat="1" x14ac:dyDescent="0.3">
      <c r="B24" t="s">
        <v>22</v>
      </c>
      <c r="C24" t="s">
        <v>37</v>
      </c>
      <c r="D24" t="s">
        <v>21</v>
      </c>
      <c r="E24" s="1"/>
      <c r="F24" s="3" t="e">
        <f>E24/E5</f>
        <v>#DIV/0!</v>
      </c>
      <c r="G24" t="e">
        <f>ROUNDDOWN(F24*E6,0)</f>
        <v>#DIV/0!</v>
      </c>
      <c r="H24" s="4"/>
      <c r="I24" s="7" t="e">
        <f t="shared" si="3"/>
        <v>#DIV/0!</v>
      </c>
      <c r="J24" s="7" t="e">
        <f t="shared" si="0"/>
        <v>#DIV/0!</v>
      </c>
      <c r="K24" s="8"/>
      <c r="L24" s="3" t="e">
        <f>K24/E5</f>
        <v>#DIV/0!</v>
      </c>
      <c r="M24" s="8" t="e">
        <f>ROUNDDOWN(L24*E6,0)</f>
        <v>#DIV/0!</v>
      </c>
      <c r="N24" s="10"/>
      <c r="O24" s="10" t="e">
        <f t="shared" si="1"/>
        <v>#DIV/0!</v>
      </c>
      <c r="P24" s="7" t="e">
        <f t="shared" si="2"/>
        <v>#DIV/0!</v>
      </c>
    </row>
    <row r="25" spans="2:16" s="2" customFormat="1" x14ac:dyDescent="0.3">
      <c r="B25" t="s">
        <v>22</v>
      </c>
      <c r="C25" t="s">
        <v>38</v>
      </c>
      <c r="D25" t="s">
        <v>21</v>
      </c>
      <c r="E25" s="1"/>
      <c r="F25" s="3" t="e">
        <f>E25/E5</f>
        <v>#DIV/0!</v>
      </c>
      <c r="G25" t="e">
        <f>ROUNDDOWN(F25*E6,0)</f>
        <v>#DIV/0!</v>
      </c>
      <c r="H25" s="4"/>
      <c r="I25" s="7" t="e">
        <f t="shared" si="3"/>
        <v>#DIV/0!</v>
      </c>
      <c r="J25" s="7" t="e">
        <f t="shared" si="0"/>
        <v>#DIV/0!</v>
      </c>
      <c r="K25" s="8"/>
      <c r="L25" s="3" t="e">
        <f>K25/E5</f>
        <v>#DIV/0!</v>
      </c>
      <c r="M25" s="8" t="e">
        <f>ROUNDDOWN(L25*E6,0)</f>
        <v>#DIV/0!</v>
      </c>
      <c r="N25" s="10"/>
      <c r="O25" s="10" t="e">
        <f t="shared" si="1"/>
        <v>#DIV/0!</v>
      </c>
      <c r="P25" s="7" t="e">
        <f t="shared" si="2"/>
        <v>#DIV/0!</v>
      </c>
    </row>
    <row r="26" spans="2:16" s="2" customFormat="1" x14ac:dyDescent="0.3">
      <c r="B26" t="s">
        <v>22</v>
      </c>
      <c r="C26" t="s">
        <v>39</v>
      </c>
      <c r="D26" t="s">
        <v>21</v>
      </c>
      <c r="E26" s="1"/>
      <c r="F26" s="3" t="e">
        <f>E26/E5</f>
        <v>#DIV/0!</v>
      </c>
      <c r="G26" t="e">
        <f>ROUNDDOWN(F26*E6,0)</f>
        <v>#DIV/0!</v>
      </c>
      <c r="H26" s="4"/>
      <c r="I26" s="7" t="e">
        <f t="shared" si="3"/>
        <v>#DIV/0!</v>
      </c>
      <c r="J26" s="7" t="e">
        <f t="shared" si="0"/>
        <v>#DIV/0!</v>
      </c>
      <c r="K26" s="8"/>
      <c r="L26" s="3" t="e">
        <f>K26/E5</f>
        <v>#DIV/0!</v>
      </c>
      <c r="M26" s="8" t="e">
        <f>ROUNDDOWN(L26*E6,0)</f>
        <v>#DIV/0!</v>
      </c>
      <c r="N26" s="4"/>
      <c r="O26" s="10" t="e">
        <f t="shared" si="1"/>
        <v>#DIV/0!</v>
      </c>
      <c r="P26" s="7" t="e">
        <f t="shared" si="2"/>
        <v>#DIV/0!</v>
      </c>
    </row>
    <row r="27" spans="2:16" s="2" customFormat="1" x14ac:dyDescent="0.3">
      <c r="B27" t="s">
        <v>22</v>
      </c>
      <c r="C27" t="s">
        <v>40</v>
      </c>
      <c r="D27" t="s">
        <v>21</v>
      </c>
      <c r="E27" s="1"/>
      <c r="F27" s="3" t="e">
        <f>E27/E5</f>
        <v>#DIV/0!</v>
      </c>
      <c r="G27" t="e">
        <f>ROUNDDOWN(F27*E6,0)</f>
        <v>#DIV/0!</v>
      </c>
      <c r="H27" s="4"/>
      <c r="I27" s="7" t="e">
        <f t="shared" si="3"/>
        <v>#DIV/0!</v>
      </c>
      <c r="J27" s="7" t="e">
        <f t="shared" si="0"/>
        <v>#DIV/0!</v>
      </c>
      <c r="K27" s="8"/>
      <c r="L27" s="3" t="e">
        <f>K27/E5</f>
        <v>#DIV/0!</v>
      </c>
      <c r="M27" s="8" t="e">
        <f>ROUNDDOWN(L27*E6,0)</f>
        <v>#DIV/0!</v>
      </c>
      <c r="N27" s="4"/>
      <c r="O27" s="10" t="e">
        <f>N27/K27</f>
        <v>#DIV/0!</v>
      </c>
      <c r="P27" s="7" t="e">
        <f t="shared" si="2"/>
        <v>#DIV/0!</v>
      </c>
    </row>
    <row r="28" spans="2:16" s="2" customFormat="1" x14ac:dyDescent="0.3">
      <c r="B28" t="s">
        <v>22</v>
      </c>
      <c r="C28" t="s">
        <v>41</v>
      </c>
      <c r="D28" t="s">
        <v>21</v>
      </c>
      <c r="E28" s="1"/>
      <c r="F28" s="3" t="e">
        <f>E28/E5</f>
        <v>#DIV/0!</v>
      </c>
      <c r="G28" t="e">
        <f>ROUNDDOWN(F28*E6,0)</f>
        <v>#DIV/0!</v>
      </c>
      <c r="H28" s="4"/>
      <c r="I28" s="7" t="e">
        <f t="shared" si="3"/>
        <v>#DIV/0!</v>
      </c>
      <c r="J28" s="7" t="e">
        <f>I28*G28</f>
        <v>#DIV/0!</v>
      </c>
      <c r="K28" s="8"/>
      <c r="L28" s="3" t="e">
        <f>K28/E5</f>
        <v>#DIV/0!</v>
      </c>
      <c r="M28" s="8" t="e">
        <f>ROUNDDOWN(L28*E6,0)</f>
        <v>#DIV/0!</v>
      </c>
      <c r="N28" s="4"/>
      <c r="O28" s="10" t="e">
        <f t="shared" si="1"/>
        <v>#DIV/0!</v>
      </c>
      <c r="P28" s="7" t="e">
        <f>M28*O28</f>
        <v>#DIV/0!</v>
      </c>
    </row>
    <row r="29" spans="2:16" s="2" customFormat="1" x14ac:dyDescent="0.3">
      <c r="B29" t="s">
        <v>22</v>
      </c>
      <c r="C29" t="s">
        <v>10</v>
      </c>
      <c r="D29" t="s">
        <v>21</v>
      </c>
      <c r="E29" s="1"/>
      <c r="F29" s="3" t="e">
        <f>E29/E5</f>
        <v>#DIV/0!</v>
      </c>
      <c r="G29" t="e">
        <f>ROUNDDOWN(F29*E6,0)</f>
        <v>#DIV/0!</v>
      </c>
      <c r="H29" s="4"/>
      <c r="I29" s="7" t="e">
        <f t="shared" si="3"/>
        <v>#DIV/0!</v>
      </c>
      <c r="J29" s="7" t="e">
        <f t="shared" si="0"/>
        <v>#DIV/0!</v>
      </c>
      <c r="K29" s="8"/>
      <c r="L29" s="3" t="e">
        <f>K29/E5</f>
        <v>#DIV/0!</v>
      </c>
      <c r="M29" s="8" t="e">
        <f>ROUNDDOWN(L29*E6,0)</f>
        <v>#DIV/0!</v>
      </c>
      <c r="N29" s="4"/>
      <c r="O29" s="10" t="e">
        <f t="shared" si="1"/>
        <v>#DIV/0!</v>
      </c>
      <c r="P29" s="7" t="e">
        <f t="shared" si="2"/>
        <v>#DIV/0!</v>
      </c>
    </row>
    <row r="30" spans="2:16" s="2" customFormat="1" x14ac:dyDescent="0.3">
      <c r="B30" t="s">
        <v>22</v>
      </c>
      <c r="C30" t="s">
        <v>11</v>
      </c>
      <c r="D30" t="s">
        <v>21</v>
      </c>
      <c r="E30" s="1"/>
      <c r="F30" s="3" t="e">
        <f>E30/E5</f>
        <v>#DIV/0!</v>
      </c>
      <c r="G30" t="e">
        <f>ROUNDDOWN(F30*E6,0)</f>
        <v>#DIV/0!</v>
      </c>
      <c r="H30" s="4"/>
      <c r="I30" s="7" t="e">
        <f t="shared" si="3"/>
        <v>#DIV/0!</v>
      </c>
      <c r="J30" s="7" t="e">
        <f t="shared" si="0"/>
        <v>#DIV/0!</v>
      </c>
      <c r="K30" s="8"/>
      <c r="L30" s="3" t="e">
        <f>K30/E5</f>
        <v>#DIV/0!</v>
      </c>
      <c r="M30" s="8" t="e">
        <f>ROUNDDOWN(L30*E6,0)</f>
        <v>#DIV/0!</v>
      </c>
      <c r="N30" s="4"/>
      <c r="O30" s="10" t="e">
        <f t="shared" si="1"/>
        <v>#DIV/0!</v>
      </c>
      <c r="P30" s="7" t="e">
        <f t="shared" si="2"/>
        <v>#DIV/0!</v>
      </c>
    </row>
    <row r="31" spans="2:16" s="2" customFormat="1" x14ac:dyDescent="0.3">
      <c r="B31" t="s">
        <v>22</v>
      </c>
      <c r="C31" t="s">
        <v>12</v>
      </c>
      <c r="D31" t="s">
        <v>21</v>
      </c>
      <c r="E31" s="1"/>
      <c r="F31" s="3" t="e">
        <f>E31/E5</f>
        <v>#DIV/0!</v>
      </c>
      <c r="G31" t="e">
        <f>ROUNDDOWN(F31*E6,0)</f>
        <v>#DIV/0!</v>
      </c>
      <c r="H31" s="4"/>
      <c r="I31" s="7" t="e">
        <f>H31/E31</f>
        <v>#DIV/0!</v>
      </c>
      <c r="J31" s="7" t="e">
        <f t="shared" si="0"/>
        <v>#DIV/0!</v>
      </c>
      <c r="K31" s="8"/>
      <c r="L31" s="3" t="e">
        <f>K31/E5</f>
        <v>#DIV/0!</v>
      </c>
      <c r="M31" s="8" t="e">
        <f>ROUNDDOWN(L31*E6,0)</f>
        <v>#DIV/0!</v>
      </c>
      <c r="N31" s="10"/>
      <c r="O31" s="10" t="e">
        <f t="shared" si="1"/>
        <v>#DIV/0!</v>
      </c>
      <c r="P31" s="7" t="e">
        <f t="shared" si="2"/>
        <v>#DIV/0!</v>
      </c>
    </row>
    <row r="32" spans="2:16" s="2" customFormat="1" x14ac:dyDescent="0.3">
      <c r="B32" t="s">
        <v>22</v>
      </c>
      <c r="C32" t="s">
        <v>42</v>
      </c>
      <c r="D32" t="s">
        <v>21</v>
      </c>
      <c r="E32" s="1"/>
      <c r="F32" s="3" t="e">
        <f>E32/E5</f>
        <v>#DIV/0!</v>
      </c>
      <c r="G32" t="e">
        <f>ROUNDDOWN(F32*E6,0)</f>
        <v>#DIV/0!</v>
      </c>
      <c r="H32" s="4"/>
      <c r="I32" s="7" t="e">
        <f t="shared" si="3"/>
        <v>#DIV/0!</v>
      </c>
      <c r="J32" s="7" t="e">
        <f t="shared" si="0"/>
        <v>#DIV/0!</v>
      </c>
      <c r="K32" s="8"/>
      <c r="L32" s="3" t="e">
        <f>K32/E5</f>
        <v>#DIV/0!</v>
      </c>
      <c r="M32" s="8" t="e">
        <f>ROUNDDOWN(L32*E6,0)</f>
        <v>#DIV/0!</v>
      </c>
      <c r="N32" s="4"/>
      <c r="O32" s="10" t="e">
        <f t="shared" si="1"/>
        <v>#DIV/0!</v>
      </c>
      <c r="P32" s="7" t="e">
        <f t="shared" si="2"/>
        <v>#DIV/0!</v>
      </c>
    </row>
    <row r="33" spans="2:16" s="2" customFormat="1" x14ac:dyDescent="0.3">
      <c r="B33" t="s">
        <v>22</v>
      </c>
      <c r="C33" t="s">
        <v>43</v>
      </c>
      <c r="D33" t="s">
        <v>21</v>
      </c>
      <c r="E33" s="1"/>
      <c r="F33" s="3" t="e">
        <f>E33/E5</f>
        <v>#DIV/0!</v>
      </c>
      <c r="G33" t="e">
        <f>ROUNDDOWN(F33*E6,0)</f>
        <v>#DIV/0!</v>
      </c>
      <c r="H33" s="4"/>
      <c r="I33" s="7" t="e">
        <f t="shared" si="3"/>
        <v>#DIV/0!</v>
      </c>
      <c r="J33" s="7" t="e">
        <f t="shared" si="0"/>
        <v>#DIV/0!</v>
      </c>
      <c r="K33" s="8"/>
      <c r="L33" s="3" t="e">
        <f>K33/E5</f>
        <v>#DIV/0!</v>
      </c>
      <c r="M33" s="8" t="e">
        <f>ROUNDDOWN(L33*E6,0)</f>
        <v>#DIV/0!</v>
      </c>
      <c r="N33" s="4"/>
      <c r="O33" s="10" t="e">
        <f t="shared" si="1"/>
        <v>#DIV/0!</v>
      </c>
      <c r="P33" s="7" t="e">
        <f t="shared" si="2"/>
        <v>#DIV/0!</v>
      </c>
    </row>
    <row r="34" spans="2:16" s="2" customFormat="1" x14ac:dyDescent="0.3">
      <c r="B34" t="s">
        <v>22</v>
      </c>
      <c r="C34" t="s">
        <v>13</v>
      </c>
      <c r="D34" t="s">
        <v>21</v>
      </c>
      <c r="E34" s="1"/>
      <c r="F34" s="3" t="e">
        <f>E34/E5</f>
        <v>#DIV/0!</v>
      </c>
      <c r="G34" t="e">
        <f>ROUNDDOWN(F34*E6,0)</f>
        <v>#DIV/0!</v>
      </c>
      <c r="H34" s="4"/>
      <c r="I34" s="7" t="e">
        <f t="shared" si="3"/>
        <v>#DIV/0!</v>
      </c>
      <c r="J34" s="7" t="e">
        <f t="shared" si="0"/>
        <v>#DIV/0!</v>
      </c>
      <c r="K34" s="8"/>
      <c r="L34" s="3" t="e">
        <f>K34/E5</f>
        <v>#DIV/0!</v>
      </c>
      <c r="M34" s="8" t="e">
        <f>ROUNDDOWN(L34*E6,0)</f>
        <v>#DIV/0!</v>
      </c>
      <c r="N34" s="4"/>
      <c r="O34" s="10" t="e">
        <f t="shared" si="1"/>
        <v>#DIV/0!</v>
      </c>
      <c r="P34" s="7" t="e">
        <f t="shared" si="2"/>
        <v>#DIV/0!</v>
      </c>
    </row>
    <row r="35" spans="2:16" s="2" customFormat="1" x14ac:dyDescent="0.3">
      <c r="B35" t="s">
        <v>22</v>
      </c>
      <c r="C35" t="s">
        <v>44</v>
      </c>
      <c r="D35" t="s">
        <v>21</v>
      </c>
      <c r="E35" s="1"/>
      <c r="F35" s="3" t="e">
        <f>E35/E5</f>
        <v>#DIV/0!</v>
      </c>
      <c r="G35" t="e">
        <f>ROUNDDOWN(F35*E6,0)</f>
        <v>#DIV/0!</v>
      </c>
      <c r="H35" s="4"/>
      <c r="I35" s="7" t="e">
        <f t="shared" si="3"/>
        <v>#DIV/0!</v>
      </c>
      <c r="J35" s="7" t="e">
        <f t="shared" si="0"/>
        <v>#DIV/0!</v>
      </c>
      <c r="K35" s="8"/>
      <c r="L35" s="3" t="e">
        <f>K35/E5</f>
        <v>#DIV/0!</v>
      </c>
      <c r="M35" s="8" t="e">
        <f>ROUNDDOWN(L35*E6,0)</f>
        <v>#DIV/0!</v>
      </c>
      <c r="N35" s="4"/>
      <c r="O35" s="10" t="e">
        <f t="shared" si="1"/>
        <v>#DIV/0!</v>
      </c>
      <c r="P35" s="7" t="e">
        <f t="shared" si="2"/>
        <v>#DIV/0!</v>
      </c>
    </row>
    <row r="36" spans="2:16" s="2" customFormat="1" x14ac:dyDescent="0.3">
      <c r="B36" t="s">
        <v>22</v>
      </c>
      <c r="C36" t="s">
        <v>14</v>
      </c>
      <c r="D36" t="s">
        <v>21</v>
      </c>
      <c r="E36" s="1"/>
      <c r="F36" s="3" t="e">
        <f>E36/E5</f>
        <v>#DIV/0!</v>
      </c>
      <c r="G36" t="e">
        <f>ROUNDDOWN(F36*E6,0)</f>
        <v>#DIV/0!</v>
      </c>
      <c r="H36" s="4"/>
      <c r="I36" s="7" t="e">
        <f t="shared" si="3"/>
        <v>#DIV/0!</v>
      </c>
      <c r="J36" s="7" t="e">
        <f t="shared" si="0"/>
        <v>#DIV/0!</v>
      </c>
      <c r="K36" s="8"/>
      <c r="L36" s="3" t="e">
        <f>K36/E5</f>
        <v>#DIV/0!</v>
      </c>
      <c r="M36" s="8" t="e">
        <f>ROUNDDOWN(L36*E6,0)</f>
        <v>#DIV/0!</v>
      </c>
      <c r="N36" s="10"/>
      <c r="O36" s="10" t="e">
        <f t="shared" si="1"/>
        <v>#DIV/0!</v>
      </c>
      <c r="P36" s="7" t="e">
        <f t="shared" si="2"/>
        <v>#DIV/0!</v>
      </c>
    </row>
    <row r="37" spans="2:16" x14ac:dyDescent="0.3">
      <c r="J37" s="7">
        <f t="shared" si="0"/>
        <v>0</v>
      </c>
      <c r="L37" s="3"/>
      <c r="M37" s="3"/>
      <c r="N37" s="10"/>
      <c r="O37" s="10"/>
    </row>
    <row r="38" spans="2:16" x14ac:dyDescent="0.3">
      <c r="E38" s="1">
        <f>SUM(E7:E36)</f>
        <v>0</v>
      </c>
      <c r="G38" t="e">
        <f>SUM(G8:G36)</f>
        <v>#DIV/0!</v>
      </c>
      <c r="I38" s="7" t="e">
        <f t="shared" si="3"/>
        <v>#DIV/0!</v>
      </c>
      <c r="J38" s="7" t="e">
        <f t="shared" si="0"/>
        <v>#DIV/0!</v>
      </c>
      <c r="L38" s="3"/>
      <c r="M38" s="3"/>
      <c r="N38" s="10"/>
      <c r="O38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State Summary Graphs</vt:lpstr>
      <vt:lpstr>2016_IC3 State to City</vt:lpstr>
      <vt:lpstr>2017_IC3 State to City</vt:lpstr>
      <vt:lpstr>2018_IC3 State to City</vt:lpstr>
      <vt:lpstr>2019_IC3 State to City</vt:lpstr>
      <vt:lpstr>2020_IC3 State to City</vt:lpstr>
      <vt:lpstr>2021_IC3 State to City</vt:lpstr>
      <vt:lpstr>City Summary</vt:lpstr>
      <vt:lpstr>2022_IC3 State to City</vt:lpstr>
      <vt:lpstr>BLANK_IC3 State to City</vt:lpstr>
      <vt:lpstr>BLANK_IC3 State to City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O'Keefe-Odom</dc:creator>
  <cp:lastModifiedBy>John O'Keefe-Odom</cp:lastModifiedBy>
  <dcterms:created xsi:type="dcterms:W3CDTF">2023-11-08T00:59:32Z</dcterms:created>
  <dcterms:modified xsi:type="dcterms:W3CDTF">2026-08-03T16:07:10Z</dcterms:modified>
</cp:coreProperties>
</file>